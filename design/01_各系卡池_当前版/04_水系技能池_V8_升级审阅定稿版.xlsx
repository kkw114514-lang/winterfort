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82fb3a309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系技能池" sheetId="1" r:id="Rfd7fa3c16fdb47d0"/>
    <x:sheet xmlns:r="http://schemas.openxmlformats.org/officeDocument/2006/relationships" name="机制与边界" sheetId="2" r:id="R0b346d213fe84cb4"/>
    <x:sheet xmlns:r="http://schemas.openxmlformats.org/officeDocument/2006/relationships" name="评审统计" sheetId="3" r:id="R112f8c6f0ed5422b"/>
    <x:sheet xmlns:r="http://schemas.openxmlformats.org/officeDocument/2006/relationships" name="删除归档" sheetId="4" r:id="R2def2abe0b3e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3A5B"/>
      <x:name val="Carlito"/>
    </x:font>
    <x:font>
      <x:i/>
      <x:sz val="11"/>
      <x:color rgb="FF44576A"/>
      <x:name val="Carlito"/>
    </x:font>
    <x:font>
      <x:sz val="11"/>
      <x:color rgb="FF152536"/>
      <x:name val="Carlito"/>
    </x:font>
    <x:font>
      <x:i/>
      <x:sz val="11"/>
      <x:color rgb="FF0B3A5B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i/>
      <x:sz val="11"/>
      <x:color rgb="FF294861"/>
      <x:name val="Carlito"/>
    </x:font>
    <x:font>
      <x:sz val="11"/>
      <x:color rgb="FF243746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0B3A5B"/>
      </x:patternFill>
    </x:fill>
    <x:fill>
      <x:patternFill patternType="solid">
        <x:fgColor rgb="FFDDEBF7"/>
      </x:patternFill>
    </x:fill>
    <x:fill>
      <x:patternFill patternType="solid">
        <x:fgColor rgb="FFF4F8FB"/>
      </x:patternFill>
    </x:fill>
    <x:fill>
      <x:patternFill patternType="solid">
        <x:fgColor rgb="FF156082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4A6A"/>
      </x:patternFill>
    </x:fill>
    <x:fill>
      <x:patternFill patternType="solid">
        <x:fgColor rgb="FF176B8A"/>
      </x:patternFill>
    </x:fill>
    <x:fill>
      <x:patternFill patternType="solid">
        <x:fgColor rgb="FFD9EAF7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0B3A5B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0B3C5D"/>
      </x:patternFill>
    </x:fill>
    <x:fill>
      <x:patternFill patternType="solid">
        <x:fgColor rgb="FFDCEAF3"/>
      </x:patternFill>
    </x:fill>
    <x:fill>
      <x:patternFill patternType="solid">
        <x:fgColor rgb="FF1E5D88"/>
      </x:patternFill>
    </x:fill>
    <x:fill>
      <x:patternFill patternType="solid">
        <x:fgColor rgb="FFE6F1DE"/>
      </x:patternFill>
    </x:fill>
    <x:fill>
      <x:patternFill patternType="solid">
        <x:fgColor rgb="FF8B3A3A"/>
      </x:patternFill>
    </x:fill>
    <x:fill>
      <x:patternFill patternType="solid">
        <x:fgColor rgb="FFFCE8E6"/>
      </x:patternFill>
    </x:fill>
  </x:fills>
  <x:borders count="23">
    <x:border/>
    <x:border>
      <x:right style="thin">
        <x:color rgb="FFA8C4D8"/>
      </x:right>
    </x:border>
    <x:border>
      <x:left style="thin">
        <x:color rgb="FFA8C4D8"/>
      </x:left>
      <x:right style="thin">
        <x:color rgb="FFA8C4D8"/>
      </x:right>
    </x:border>
    <x:border>
      <x:left style="thin">
        <x:color rgb="FFA8C4D8"/>
      </x:left>
    </x:border>
    <x:border>
      <x:bottom style="thin">
        <x:color rgb="FFD5E1EA"/>
      </x:bottom>
    </x:border>
    <x:border>
      <x:top style="thin">
        <x:color rgb="FFD5E1EA"/>
      </x:top>
      <x:bottom style="thin">
        <x:color rgb="FFD5E1EA"/>
      </x:bottom>
    </x:border>
    <x:border>
      <x:top style="thin">
        <x:color rgb="FFD5E1EA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E1F2"/>
      </x:bottom>
    </x:border>
    <x:border>
      <x:top style="thin">
        <x:color rgb="FFD9E1F2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BDD7EE"/>
      </x:bottom>
    </x:border>
    <x:border>
      <x:top style="thin">
        <x:color rgb="FFBDD7EE"/>
      </x:top>
      <x:bottom style="thin">
        <x:color rgb="FFBDD7EE"/>
      </x:bottom>
    </x:border>
    <x:border>
      <x:top style="thin">
        <x:color rgb="FFBDD7EE"/>
      </x:top>
    </x:border>
    <x:border>
      <x:bottom style="medium">
        <x:color rgb="FF0B3C5D"/>
      </x:bottom>
    </x:border>
    <x:border>
      <x:bottom style="thin">
        <x:color rgb="FFC8D9E5"/>
      </x:bottom>
    </x:border>
    <x:border>
      <x:top style="thin">
        <x:color rgb="FFC8D9E5"/>
      </x:top>
      <x:bottom style="thin">
        <x:color rgb="FFC8D9E5"/>
      </x:bottom>
    </x:border>
    <x:border>
      <x:top style="thin">
        <x:color rgb="FFC8D9E5"/>
      </x:top>
    </x:border>
    <x:border>
      <x:bottom style="thin">
        <x:color rgb="FFB6CDDC"/>
      </x:bottom>
    </x:border>
    <x:border>
      <x:top style="thin">
        <x:color rgb="FFB6CDDC"/>
      </x:top>
      <x:bottom style="thin">
        <x:color rgb="FFB6CDDC"/>
      </x:bottom>
    </x:border>
    <x:border>
      <x:top style="thin">
        <x:color rgb="FFB6CDDC"/>
      </x:top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201" fontId="4" fillId="0" borderId="4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11" borderId="8" xfId="0" applyNumberFormat="1" applyFont="1" applyFill="1" applyBorder="1" applyAlignment="1">
      <x:alignment vertical="center" wrapText="1"/>
    </x:xf>
    <x:xf numFmtId="0" fontId="0" fillId="12" borderId="9" xfId="0" applyNumberFormat="1" applyFont="1" applyFill="1" applyBorder="1" applyAlignment="1">
      <x:alignment vertical="center" wrapText="1"/>
    </x:xf>
    <x:xf numFmtId="0" fontId="0" fillId="11" borderId="8" xfId="0" applyNumberFormat="1" applyFont="1" applyFill="1" applyBorder="1" applyAlignment="1">
      <x:alignment horizontal="center" vertical="center" wrapText="1"/>
    </x:xf>
    <x:xf numFmtId="0" fontId="0" fillId="12" borderId="9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3" xfId="0" applyNumberFormat="1" applyFont="1" applyFill="1" applyBorder="0"/>
    <x:xf numFmtId="0" fontId="0" fillId="13" xfId="0" applyNumberFormat="1" applyFont="1" applyFill="1" applyBorder="0" applyAlignment="1">
      <x:alignment wrapText="1"/>
    </x:xf>
    <x:xf numFmtId="0" fontId="0" fillId="13" xfId="0" applyNumberFormat="1" applyFont="1" applyFill="1" applyBorder="0" applyAlignment="1">
      <x:alignment vertical="center" wrapText="1"/>
    </x:xf>
    <x:xf numFmtId="0" fontId="0" fillId="12" borderId="0" xfId="0" applyNumberFormat="1" applyFont="1" applyFill="1" applyBorder="1"/>
    <x:xf numFmtId="0" fontId="0" fillId="12" xfId="0" applyNumberFormat="1" applyFont="1" applyFill="1" applyBorder="0"/>
    <x:xf numFmtId="0" fontId="0" fillId="12" xfId="0" applyNumberFormat="1" applyFont="1" applyFill="1" applyBorder="0" applyAlignment="1">
      <x:alignment wrapText="1"/>
    </x:xf>
    <x:xf numFmtId="0" fontId="0" fillId="12" xfId="0" applyNumberFormat="1" applyFont="1" applyFill="1" applyBorder="0" applyAlignment="1">
      <x:alignment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0" fillId="15" borderId="13" xfId="0" applyNumberFormat="1" applyFont="1" applyFill="1" applyBorder="1"/>
    <x:xf numFmtId="0" fontId="0" fillId="15" borderId="14" xfId="0" applyNumberFormat="1" applyFont="1" applyFill="1" applyBorder="1"/>
    <x:xf numFmtId="0" fontId="0" fillId="15" borderId="15" xfId="0" applyNumberFormat="1" applyFont="1" applyFill="1" applyBorder="1"/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wrapText="1"/>
    </x:xf>
    <x:xf numFmtId="0" fontId="8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16" xfId="0" applyNumberFormat="1" applyFont="1" applyFill="1" applyBorder="1"/>
    <x:xf numFmtId="0" fontId="1" fillId="20" borderId="16" xfId="0" applyNumberFormat="1" applyFont="1" applyFill="1" applyBorder="1" applyAlignment="1">
      <x:alignment wrapText="1"/>
    </x:xf>
    <x:xf numFmtId="0" fontId="1" fillId="20" borderId="16" xfId="0" applyNumberFormat="1" applyFont="1" applyFill="1" applyBorder="1" applyAlignment="1">
      <x:alignment horizontal="center" wrapText="1"/>
    </x:xf>
    <x:xf numFmtId="0" fontId="1" fillId="20" borderId="1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17" xfId="0" applyNumberFormat="1" applyFont="1" applyFill="1" applyBorder="1" applyAlignment="1">
      <x:alignment wrapText="1"/>
    </x:xf>
    <x:xf numFmtId="0" fontId="9" fillId="0" borderId="18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9" fillId="0" borderId="17" xfId="0" applyNumberFormat="1" applyFont="1" applyFill="1" applyBorder="1" applyAlignment="1">
      <x:alignment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0" fillId="19" borderId="20" xfId="0" applyNumberFormat="1" applyFont="1" applyFill="1" applyBorder="1"/>
    <x:xf numFmtId="0" fontId="0" fillId="19" borderId="21" xfId="0" applyNumberFormat="1" applyFont="1" applyFill="1" applyBorder="1"/>
    <x:xf numFmtId="0" fontId="0" fillId="19" borderId="22" xfId="0" applyNumberFormat="1" applyFont="1" applyFill="1" applyBorder="1"/>
    <x:xf numFmtId="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16" xfId="0" applyNumberFormat="1" applyFont="1" applyFill="1" applyBorder="1"/>
    <x:xf numFmtId="0" fontId="1" fillId="22" borderId="16" xfId="0" applyNumberFormat="1" applyFont="1" applyFill="1" applyBorder="1" applyAlignment="1">
      <x:alignment wrapText="1"/>
    </x:xf>
    <x:xf numFmtId="0" fontId="1" fillId="22" borderId="16" xfId="0" applyNumberFormat="1" applyFont="1" applyFill="1" applyBorder="1" applyAlignment="1">
      <x:alignment horizontal="center" wrapText="1"/>
    </x:xf>
    <x:xf numFmtId="0" fontId="1" fillId="22" borderId="16" xfId="0" applyNumberFormat="1" applyFont="1" applyFill="1" applyBorder="1" applyAlignment="1">
      <x:alignment horizontal="center" vertical="center" wrapText="1"/>
    </x:xf>
    <x:xf numFmtId="0" fontId="9" fillId="23" borderId="17" xfId="0" applyNumberFormat="1" applyFont="1" applyFill="1" applyBorder="1" applyAlignment="1">
      <x:alignment vertical="top" wrapText="1"/>
    </x:xf>
    <x:xf numFmtId="0" fontId="9" fillId="23" borderId="18" xfId="0" applyNumberFormat="1" applyFont="1" applyFill="1" applyBorder="1" applyAlignment="1">
      <x:alignment vertical="top" wrapText="1"/>
    </x:xf>
    <x:xf numFmtId="0" fontId="9" fillId="23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7632A"/>
      </x:font>
      <x:fill>
        <x:patternFill>
          <x:bgColor rgb="FFD9EAD3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9C1C1C"/>
      </x:font>
      <x:fill>
        <x:patternFill>
          <x:bgColor rgb="FFF4CCCC"/>
        </x:patternFill>
      </x:fill>
    </x:dxf>
    <x:dxf>
      <x:font>
        <x:b/>
        <x:color rgb="FF0B3A5B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780b2ae8041ae" /><Relationship Type="http://schemas.openxmlformats.org/officeDocument/2006/relationships/theme" Target="/xl/theme/theme1.xml" Id="Rac4a2ecea5194d32" /><Relationship Type="http://schemas.openxmlformats.org/officeDocument/2006/relationships/sharedStrings" Target="/xl/sharedStrings.xml" Id="R53f3b48e295245bf" /><Relationship Type="http://schemas.openxmlformats.org/officeDocument/2006/relationships/worksheet" Target="/xl/worksheets/sheet1.xml" Id="Rfd7fa3c16fdb47d0" /><Relationship Type="http://schemas.openxmlformats.org/officeDocument/2006/relationships/worksheet" Target="/xl/worksheets/sheet2.xml" Id="R0b346d213fe84cb4" /><Relationship Type="http://schemas.openxmlformats.org/officeDocument/2006/relationships/worksheet" Target="/xl/worksheets/sheet3.xml" Id="R112f8c6f0ed5422b" /><Relationship Type="http://schemas.openxmlformats.org/officeDocument/2006/relationships/worksheet" Target="/xl/worksheets/sheet4.xml" Id="R2def2abe0b3e4b6f" /></Relationships>
</file>

<file path=xl/tables/table1.xml><?xml version="1.0" encoding="utf-8"?>
<x:table xmlns:x="http://schemas.openxmlformats.org/spreadsheetml/2006/main" id="1" name="WaterPoolV8" displayName="WaterPoolV8" ref="A4:Q70" headerRowCount="1" totalsRowCount="0" totalsRowShown="0">
  <x:tableColumns count="17">
    <x:tableColumn id="1" name="编号"/>
    <x:tableColumn id="2" name="名称"/>
    <x:tableColumn id="3" name="体系"/>
    <x:tableColumn id="4" name="关键词"/>
    <x:tableColumn id="5" name="稀有度"/>
    <x:tableColumn id="6" name="费用"/>
    <x:tableColumn id="7" name="类型"/>
    <x:tableColumn id="8" name="卡面效果"/>
    <x:tableColumn id="9" name="精确规则 / 设计备注"/>
    <x:tableColumn id="10" name="主题契合度&#10;(1–5)"/>
    <x:tableColumn id="11" name="机制新颖度&#10;(1–5)"/>
    <x:tableColumn id="12" name="平衡风险&#10;(1–5)"/>
    <x:tableColumn id="13" name="评审结论"/>
    <x:tableColumn id="14" name="修改建议 / 备注"/>
    <x:tableColumn id="15" name="属性"/>
    <x:tableColumn id="16" name="升级后费用"/>
    <x:tableColumn id="17" name="升级效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erRulesV8" displayName="WaterRulesV8" ref="A4:E15" headerRowCount="1" totalsRowCount="0" totalsRowShown="0">
  <x:tableColumns count="5">
    <x:tableColumn id="1" name="项目"/>
    <x:tableColumn id="2" name="现行裁定"/>
    <x:tableColumn id="3" name="边界"/>
    <x:tableColumn id="4" name="实现提示"/>
    <x:tableColumn id="5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terStatsV8" displayName="WaterStatsV8" ref="A3:B11" headerRowCount="1" totalsRowCount="0" totalsRowShown="0">
  <x:tableColumns count="2">
    <x:tableColumn id="1" name="指标"/>
    <x:tableColumn id="2" name="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erBenchmarksV8" displayName="WaterBenchmarksV8" ref="D3:F6" headerRowCount="1" totalsRowCount="0" totalsRowShown="0">
  <x:tableColumns count="3">
    <x:tableColumn id="1" name="核心标尺"/>
    <x:tableColumn id="2" name="值"/>
    <x:tableColumn id="3" name="状态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WaterDeletedV8" displayName="WaterDeletedV8" ref="A4:H7" headerRowCount="1" totalsRowCount="0" totalsRowShown="0">
  <x:tableColumns count="8">
    <x:tableColumn id="1" name="编号"/>
    <x:tableColumn id="2" name="名称"/>
    <x:tableColumn id="3" name="属性"/>
    <x:tableColumn id="4" name="稀有度"/>
    <x:tableColumn id="5" name="费用"/>
    <x:tableColumn id="6" name="类型"/>
    <x:tableColumn id="7" name="删除前效果"/>
    <x:tableColumn id="8" name="删除理由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bf00fb7e0748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683285c1a2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cbf0c0e2cd46d4" /><Relationship Type="http://schemas.openxmlformats.org/officeDocument/2006/relationships/table" Target="/xl/tables/table4.xml" Id="R66ce6daa908940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5b9df9b3fa7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4" hidden="0" customWidth="1"/>
    <x:col min="5" max="5" width="10" hidden="0" customWidth="1"/>
    <x:col min="6" max="6" width="10" hidden="0" customWidth="1"/>
    <x:col min="7" max="7" width="12" hidden="0" customWidth="1"/>
    <x:col min="8" max="8" width="58" hidden="0" customWidth="1"/>
    <x:col min="9" max="9" width="52" hidden="0" customWidth="1"/>
    <x:col min="10" max="10" width="11" hidden="0" customWidth="1"/>
    <x:col min="11" max="11" width="11" hidden="0" customWidth="1"/>
    <x:col min="12" max="12" width="11" hidden="0" customWidth="1"/>
    <x:col min="13" max="13" width="18" hidden="0" customWidth="1"/>
    <x:col min="14" max="14" width="35" hidden="0" customWidth="1"/>
    <x:col min="15" max="15" width="14" hidden="0" customWidth="1"/>
    <x:col min="16" max="16" width="12" hidden="0" customWidth="1"/>
    <x:col min="17" max="17" width="62" hidden="0" customWidth="1"/>
  </x:cols>
  <x:sheetData>
    <x:row r="1" ht="30" customHeight="1">
      <x:c r="A1" s="124" t="str">
        <x:v>水系技能池 V8｜66张基础与升级审阅定稿池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  <x:c r="Q1" s="124"/>
    </x:row>
    <x:row r="2" ht="24" customHeight="1">
      <x:c r="A2" s="128" t="str">
        <x:v>完成全量升级逐批审阅：31张纯水牌、35张双系牌。W028、W046与旧L024删除；涉光牌同步光系V12的神启与法术牌用语。</x:v>
      </x:c>
      <x:c r="B2" s="128"/>
      <x:c r="C2" s="128"/>
      <x:c r="D2" s="128"/>
      <x:c r="E2" s="128"/>
      <x:c r="F2" s="128"/>
      <x:c r="G2" s="128"/>
      <x:c r="H2" s="128"/>
      <x:c r="I2" s="128"/>
      <x:c r="J2" s="128"/>
      <x:c r="K2" s="128"/>
      <x:c r="L2" s="128"/>
      <x:c r="M2" s="128"/>
      <x:c r="N2" s="128"/>
      <x:c r="O2" s="128"/>
      <x:c r="P2" s="128"/>
      <x:c r="Q2" s="128"/>
    </x:row>
    <x:row r="3" ht="34" customHeight="1">
      <x:c r="A3" s="128" t="str">
        <x:v>数值标尺：纯抽牌1费抽3；纯护盾1费8、2费14。虚弱按持续回合记录；升级后费用与升级效果均写完整字段。</x:v>
      </x:c>
      <x:c r="B3" s="128"/>
      <x:c r="C3" s="128"/>
      <x:c r="D3" s="128"/>
      <x:c r="E3" s="128"/>
      <x:c r="F3" s="128"/>
      <x:c r="G3" s="128"/>
      <x:c r="H3" s="128"/>
      <x:c r="I3" s="128"/>
      <x:c r="J3" s="128"/>
      <x:c r="K3" s="128"/>
      <x:c r="L3" s="128"/>
      <x:c r="M3" s="128"/>
      <x:c r="N3" s="128"/>
      <x:c r="O3" s="128"/>
      <x:c r="P3" s="128"/>
      <x:c r="Q3" s="128"/>
    </x:row>
    <x:row r="4" ht="42" customHeight="1">
      <x:c r="A4" s="134" t="str">
        <x:v>编号</x:v>
      </x:c>
      <x:c r="B4" s="134" t="str">
        <x:v>名称</x:v>
      </x:c>
      <x:c r="C4" s="134" t="str">
        <x:v>体系</x:v>
      </x:c>
      <x:c r="D4" s="134" t="str">
        <x:v>关键词</x:v>
      </x:c>
      <x:c r="E4" s="134" t="str">
        <x:v>稀有度</x:v>
      </x:c>
      <x:c r="F4" s="134" t="str">
        <x:v>费用</x:v>
      </x:c>
      <x:c r="G4" s="134" t="str">
        <x:v>类型</x:v>
      </x:c>
      <x:c r="H4" s="134" t="str">
        <x:v>卡面效果</x:v>
      </x:c>
      <x:c r="I4" s="134" t="str">
        <x:v>精确规则 / 设计备注</x:v>
      </x:c>
      <x:c r="J4" s="134" t="str">
        <x:v>主题契合度
(1–5)</x:v>
      </x:c>
      <x:c r="K4" s="134" t="str">
        <x:v>机制新颖度
(1–5)</x:v>
      </x:c>
      <x:c r="L4" s="134" t="str">
        <x:v>平衡风险
(1–5)</x:v>
      </x:c>
      <x:c r="M4" s="134" t="str">
        <x:v>评审结论</x:v>
      </x:c>
      <x:c r="N4" s="134" t="str">
        <x:v>修改建议 / 备注</x:v>
      </x:c>
      <x:c r="O4" s="134" t="str">
        <x:v>属性</x:v>
      </x:c>
      <x:c r="P4" s="134" t="str">
        <x:v>升级后费用</x:v>
      </x:c>
      <x:c r="Q4" s="134" t="str">
        <x:v>升级效果</x:v>
      </x:c>
    </x:row>
    <x:row r="5" ht="72" customHeight="1">
      <x:c r="A5" s="142" t="str">
        <x:v>W001</x:v>
      </x:c>
      <x:c r="B5" s="142" t="str">
        <x:v>雨针</x:v>
      </x:c>
      <x:c r="C5" s="142" t="str">
        <x:v>多段</x:v>
      </x:c>
      <x:c r="D5" s="142" t="str">
        <x:v>多段</x:v>
      </x:c>
      <x:c r="E5" s="142" t="str">
        <x:v>白</x:v>
      </x:c>
      <x:c r="F5" s="142" t="n">
        <x:v>0</x:v>
      </x:c>
      <x:c r="G5" s="142" t="str">
        <x:v>攻击</x:v>
      </x:c>
      <x:c r="H5" s="142" t="str">
        <x:v>造成1点伤害，重复3次。</x:v>
      </x:c>
      <x:c r="I5" s="142" t="str">
        <x:v>零费基础多段。</x:v>
      </x:c>
      <x:c r="J5" s="142"/>
      <x:c r="K5" s="142"/>
      <x:c r="L5" s="142"/>
      <x:c r="M5" s="142" t="str">
        <x:v>基础与升级审阅定稿</x:v>
      </x:c>
      <x:c r="N5" s="142" t="str">
        <x:v>2026-08水系逐批审阅。；2026-08-15升级审阅完成。</x:v>
      </x:c>
      <x:c r="O5" s="142" t="str">
        <x:v>水</x:v>
      </x:c>
      <x:c r="P5" s="142" t="n">
        <x:v>0</x:v>
      </x:c>
      <x:c r="Q5" s="142" t="str">
        <x:v>造成2点伤害，重复3次。</x:v>
      </x:c>
    </x:row>
    <x:row r="6" ht="72" customHeight="1">
      <x:c r="A6" s="143" t="str">
        <x:v>W002</x:v>
      </x:c>
      <x:c r="B6" s="143" t="str">
        <x:v>三叠浪</x:v>
      </x:c>
      <x:c r="C6" s="143" t="str">
        <x:v>多段</x:v>
      </x:c>
      <x:c r="D6" s="143" t="str">
        <x:v>多段</x:v>
      </x:c>
      <x:c r="E6" s="143" t="str">
        <x:v>白</x:v>
      </x:c>
      <x:c r="F6" s="143" t="n">
        <x:v>1</x:v>
      </x:c>
      <x:c r="G6" s="143" t="str">
        <x:v>攻击</x:v>
      </x:c>
      <x:c r="H6" s="143" t="str">
        <x:v>造成3点伤害，重复3次。</x:v>
      </x:c>
      <x:c r="I6" s="143" t="str">
        <x:v>一费多段基准。</x:v>
      </x:c>
      <x:c r="J6" s="143"/>
      <x:c r="K6" s="143"/>
      <x:c r="L6" s="143"/>
      <x:c r="M6" s="143" t="str">
        <x:v>基础与升级审阅定稿</x:v>
      </x:c>
      <x:c r="N6" s="143" t="str">
        <x:v>2026-08水系逐批审阅。；2026-08-15升级审阅完成。</x:v>
      </x:c>
      <x:c r="O6" s="143" t="str">
        <x:v>水</x:v>
      </x:c>
      <x:c r="P6" s="143" t="n">
        <x:v>1</x:v>
      </x:c>
      <x:c r="Q6" s="143" t="str">
        <x:v>造成3点伤害，重复4次。</x:v>
      </x:c>
    </x:row>
    <x:row r="7" ht="72" customHeight="1">
      <x:c r="A7" s="143" t="str">
        <x:v>W003</x:v>
      </x:c>
      <x:c r="B7" s="143" t="str">
        <x:v>贴水斩</x:v>
      </x:c>
      <x:c r="C7" s="143" t="str">
        <x:v>多段</x:v>
      </x:c>
      <x:c r="D7" s="143" t="str">
        <x:v>多段·护盾</x:v>
      </x:c>
      <x:c r="E7" s="143" t="str">
        <x:v>白</x:v>
      </x:c>
      <x:c r="F7" s="143" t="n">
        <x:v>1</x:v>
      </x:c>
      <x:c r="G7" s="143" t="str">
        <x:v>攻击</x:v>
      </x:c>
      <x:c r="H7" s="143" t="str">
        <x:v>造成3点伤害并获得2点护盾，重复2次。</x:v>
      </x:c>
      <x:c r="I7" s="143" t="str">
        <x:v>每次重复同时结算伤害与护盾。</x:v>
      </x:c>
      <x:c r="J7" s="143"/>
      <x:c r="K7" s="143"/>
      <x:c r="L7" s="143"/>
      <x:c r="M7" s="143" t="str">
        <x:v>基础与升级审阅定稿</x:v>
      </x:c>
      <x:c r="N7" s="143" t="str">
        <x:v>2026-08水系逐批审阅。；2026-08-15升级审阅完成。</x:v>
      </x:c>
      <x:c r="O7" s="143" t="str">
        <x:v>水</x:v>
      </x:c>
      <x:c r="P7" s="143" t="n">
        <x:v>1</x:v>
      </x:c>
      <x:c r="Q7" s="143" t="str">
        <x:v>造成4点伤害并获得3点护盾，重复2次。</x:v>
      </x:c>
    </x:row>
    <x:row r="8" ht="72" customHeight="1">
      <x:c r="A8" s="143" t="str">
        <x:v>W004</x:v>
      </x:c>
      <x:c r="B8" s="143" t="str">
        <x:v>横雨</x:v>
      </x:c>
      <x:c r="C8" s="143" t="str">
        <x:v>多段</x:v>
      </x:c>
      <x:c r="D8" s="143" t="str">
        <x:v>多段·扩散·保留</x:v>
      </x:c>
      <x:c r="E8" s="143" t="str">
        <x:v>白</x:v>
      </x:c>
      <x:c r="F8" s="143" t="n">
        <x:v>1</x:v>
      </x:c>
      <x:c r="G8" s="143" t="str">
        <x:v>攻击</x:v>
      </x:c>
      <x:c r="H8" s="143" t="str">
        <x:v>保留。对敌方全体造成3点伤害，重复2次。</x:v>
      </x:c>
      <x:c r="I8" s="143" t="str">
        <x:v>群体多段并可保留。</x:v>
      </x:c>
      <x:c r="J8" s="143"/>
      <x:c r="K8" s="143"/>
      <x:c r="L8" s="143"/>
      <x:c r="M8" s="143" t="str">
        <x:v>基础与升级审阅定稿</x:v>
      </x:c>
      <x:c r="N8" s="143" t="str">
        <x:v>2026-08水系逐批审阅。；2026-08-15升级审阅完成。</x:v>
      </x:c>
      <x:c r="O8" s="143" t="str">
        <x:v>水</x:v>
      </x:c>
      <x:c r="P8" s="143" t="n">
        <x:v>1</x:v>
      </x:c>
      <x:c r="Q8" s="143" t="str">
        <x:v>保留。对敌方全体造成3点伤害，重复3次。</x:v>
      </x:c>
    </x:row>
    <x:row r="9" ht="72" customHeight="1">
      <x:c r="A9" s="143" t="str">
        <x:v>W007</x:v>
      </x:c>
      <x:c r="B9" s="143" t="str">
        <x:v>百川归海</x:v>
      </x:c>
      <x:c r="C9" s="143" t="str">
        <x:v>多段</x:v>
      </x:c>
      <x:c r="D9" s="143" t="str">
        <x:v>多段</x:v>
      </x:c>
      <x:c r="E9" s="143" t="str">
        <x:v>金</x:v>
      </x:c>
      <x:c r="F9" s="143" t="n">
        <x:v>3</x:v>
      </x:c>
      <x:c r="G9" s="143" t="str">
        <x:v>攻击</x:v>
      </x:c>
      <x:c r="H9" s="143" t="str">
        <x:v>造成3点伤害，重复8次。</x:v>
      </x:c>
      <x:c r="I9" s="143" t="str">
        <x:v>高段数终结牌。</x:v>
      </x:c>
      <x:c r="J9" s="143"/>
      <x:c r="K9" s="143"/>
      <x:c r="L9" s="143"/>
      <x:c r="M9" s="143" t="str">
        <x:v>基础与升级审阅定稿</x:v>
      </x:c>
      <x:c r="N9" s="143" t="str">
        <x:v>2026-08水系逐批审阅。；2026-08-15升级审阅完成。</x:v>
      </x:c>
      <x:c r="O9" s="143" t="str">
        <x:v>水</x:v>
      </x:c>
      <x:c r="P9" s="143" t="n">
        <x:v>3</x:v>
      </x:c>
      <x:c r="Q9" s="143" t="str">
        <x:v>造成4点伤害，重复8次。</x:v>
      </x:c>
    </x:row>
    <x:row r="10" ht="72" customHeight="1">
      <x:c r="A10" s="143" t="str">
        <x:v>W009</x:v>
      </x:c>
      <x:c r="B10" s="143" t="str">
        <x:v>水燕</x:v>
      </x:c>
      <x:c r="C10" s="143" t="str">
        <x:v>牌序条件</x:v>
      </x:c>
      <x:c r="D10" s="143" t="str">
        <x:v>牌序·调度·消耗</x:v>
      </x:c>
      <x:c r="E10" s="143" t="str">
        <x:v>蓝</x:v>
      </x:c>
      <x:c r="F10" s="143" t="n">
        <x:v>0</x:v>
      </x:c>
      <x:c r="G10" s="143" t="str">
        <x:v>攻击</x:v>
      </x:c>
      <x:c r="H10" s="143" t="str">
        <x:v>造成3点伤害。若本回合上一张打出的牌为技能牌，抽1张牌。消耗。</x:v>
      </x:c>
      <x:c r="I10" s="143" t="str">
        <x:v>条件以自然语言书写。</x:v>
      </x:c>
      <x:c r="J10" s="143"/>
      <x:c r="K10" s="143"/>
      <x:c r="L10" s="143"/>
      <x:c r="M10" s="143" t="str">
        <x:v>基础与升级审阅定稿</x:v>
      </x:c>
      <x:c r="N10" s="143" t="str">
        <x:v>2026-08水系逐批审阅。；2026-08-15升级审阅完成。</x:v>
      </x:c>
      <x:c r="O10" s="143" t="str">
        <x:v>水</x:v>
      </x:c>
      <x:c r="P10" s="143" t="n">
        <x:v>0</x:v>
      </x:c>
      <x:c r="Q10" s="143" t="str">
        <x:v>造成3点伤害。若本回合上一张打出的牌为技能牌，抽1张牌。</x:v>
      </x:c>
    </x:row>
    <x:row r="11" ht="72" customHeight="1">
      <x:c r="A11" s="143" t="str">
        <x:v>W010</x:v>
      </x:c>
      <x:c r="B11" s="143" t="str">
        <x:v>流切</x:v>
      </x:c>
      <x:c r="C11" s="143" t="str">
        <x:v>牌序条件</x:v>
      </x:c>
      <x:c r="D11" s="143" t="str">
        <x:v>牌序·多段</x:v>
      </x:c>
      <x:c r="E11" s="143" t="str">
        <x:v>蓝</x:v>
      </x:c>
      <x:c r="F11" s="143" t="n">
        <x:v>1</x:v>
      </x:c>
      <x:c r="G11" s="143" t="str">
        <x:v>攻击</x:v>
      </x:c>
      <x:c r="H11" s="143" t="str">
        <x:v>造成3点伤害，重复2次。若本回合上一张打出的牌为技能牌，额外重复2次。</x:v>
      </x:c>
      <x:c r="I11" s="143" t="str">
        <x:v>不使用顺流关键词。</x:v>
      </x:c>
      <x:c r="J11" s="143"/>
      <x:c r="K11" s="143"/>
      <x:c r="L11" s="143"/>
      <x:c r="M11" s="143" t="str">
        <x:v>基础与升级审阅定稿</x:v>
      </x:c>
      <x:c r="N11" s="143" t="str">
        <x:v>2026-08水系逐批审阅。；2026-08-15升级审阅完成。</x:v>
      </x:c>
      <x:c r="O11" s="143" t="str">
        <x:v>水</x:v>
      </x:c>
      <x:c r="P11" s="143" t="n">
        <x:v>1</x:v>
      </x:c>
      <x:c r="Q11" s="143" t="str">
        <x:v>造成4点伤害，重复3次。若本回合上一张打出的牌为技能牌，额外重复2次。</x:v>
      </x:c>
    </x:row>
    <x:row r="12" ht="72" customHeight="1">
      <x:c r="A12" s="143" t="str">
        <x:v>W012</x:v>
      </x:c>
      <x:c r="B12" s="143" t="str">
        <x:v>回身浪</x:v>
      </x:c>
      <x:c r="C12" s="143" t="str">
        <x:v>牌序条件</x:v>
      </x:c>
      <x:c r="D12" s="143" t="str">
        <x:v>牌序·多段·能量</x:v>
      </x:c>
      <x:c r="E12" s="143" t="str">
        <x:v>蓝</x:v>
      </x:c>
      <x:c r="F12" s="143" t="n">
        <x:v>1</x:v>
      </x:c>
      <x:c r="G12" s="143" t="str">
        <x:v>攻击</x:v>
      </x:c>
      <x:c r="H12" s="143" t="str">
        <x:v>造成4点伤害，重复2次。若本回合上一张打出的牌为技能牌，获得1点能量。</x:v>
      </x:c>
      <x:c r="I12" s="143" t="str">
        <x:v>不使用顺流关键词。</x:v>
      </x:c>
      <x:c r="J12" s="143"/>
      <x:c r="K12" s="143"/>
      <x:c r="L12" s="143"/>
      <x:c r="M12" s="143" t="str">
        <x:v>基础与升级审阅定稿</x:v>
      </x:c>
      <x:c r="N12" s="143" t="str">
        <x:v>2026-08水系逐批审阅。；2026-08-15升级审阅完成。</x:v>
      </x:c>
      <x:c r="O12" s="143" t="str">
        <x:v>水</x:v>
      </x:c>
      <x:c r="P12" s="143" t="n">
        <x:v>1</x:v>
      </x:c>
      <x:c r="Q12" s="143" t="str">
        <x:v>造成4点伤害，重复2次。若本回合上一张打出的牌为技能牌，获得2点能量。</x:v>
      </x:c>
    </x:row>
    <x:row r="13" ht="72" customHeight="1">
      <x:c r="A13" s="143" t="str">
        <x:v>W013</x:v>
      </x:c>
      <x:c r="B13" s="143" t="str">
        <x:v>轻流</x:v>
      </x:c>
      <x:c r="C13" s="143" t="str">
        <x:v>牌序条件</x:v>
      </x:c>
      <x:c r="D13" s="143" t="str">
        <x:v>牌序·护盾</x:v>
      </x:c>
      <x:c r="E13" s="143" t="str">
        <x:v>白</x:v>
      </x:c>
      <x:c r="F13" s="143" t="n">
        <x:v>1</x:v>
      </x:c>
      <x:c r="G13" s="143" t="str">
        <x:v>技能</x:v>
      </x:c>
      <x:c r="H13" s="143" t="str">
        <x:v>获得6点护盾。若本回合上一张打出的牌为攻击牌，再获得7点护盾。</x:v>
      </x:c>
      <x:c r="I13" s="143" t="str">
        <x:v>命中条件时共13点护盾。</x:v>
      </x:c>
      <x:c r="J13" s="143"/>
      <x:c r="K13" s="143"/>
      <x:c r="L13" s="143"/>
      <x:c r="M13" s="143" t="str">
        <x:v>基础与升级审阅定稿</x:v>
      </x:c>
      <x:c r="N13" s="143" t="str">
        <x:v>2026-08水系逐批审阅。；2026-08-15升级审阅完成。</x:v>
      </x:c>
      <x:c r="O13" s="143" t="str">
        <x:v>水</x:v>
      </x:c>
      <x:c r="P13" s="143" t="n">
        <x:v>1</x:v>
      </x:c>
      <x:c r="Q13" s="143" t="str">
        <x:v>获得9点护盾。若本回合上一张打出的牌为攻击牌，再获得8点护盾。</x:v>
      </x:c>
    </x:row>
    <x:row r="14" ht="72" customHeight="1">
      <x:c r="A14" s="143" t="str">
        <x:v>W016</x:v>
      </x:c>
      <x:c r="B14" s="143" t="str">
        <x:v>转湾</x:v>
      </x:c>
      <x:c r="C14" s="143" t="str">
        <x:v>牌序条件</x:v>
      </x:c>
      <x:c r="D14" s="143" t="str">
        <x:v>牌序·护盾·能量</x:v>
      </x:c>
      <x:c r="E14" s="143" t="str">
        <x:v>蓝</x:v>
      </x:c>
      <x:c r="F14" s="143" t="n">
        <x:v>2</x:v>
      </x:c>
      <x:c r="G14" s="143" t="str">
        <x:v>技能</x:v>
      </x:c>
      <x:c r="H14" s="143" t="str">
        <x:v>获得9点护盾。若本回合上一张打出的牌为攻击牌，获得2点能量。</x:v>
      </x:c>
      <x:c r="I14" s="143" t="str">
        <x:v>条件满足时返还2点能量。</x:v>
      </x:c>
      <x:c r="J14" s="143"/>
      <x:c r="K14" s="143"/>
      <x:c r="L14" s="143"/>
      <x:c r="M14" s="143" t="str">
        <x:v>基础与升级审阅定稿</x:v>
      </x:c>
      <x:c r="N14" s="143" t="str">
        <x:v>2026-08水系逐批审阅。；2026-08-15升级审阅完成。</x:v>
      </x:c>
      <x:c r="O14" s="143" t="str">
        <x:v>水</x:v>
      </x:c>
      <x:c r="P14" s="143" t="n">
        <x:v>2</x:v>
      </x:c>
      <x:c r="Q14" s="143" t="str">
        <x:v>获得12点护盾。若本回合上一张打出的牌为攻击牌，获得2点能量。</x:v>
      </x:c>
    </x:row>
    <x:row r="15" ht="72" customHeight="1">
      <x:c r="A15" s="143" t="str">
        <x:v>W018</x:v>
      </x:c>
      <x:c r="B15" s="143" t="str">
        <x:v>听潮</x:v>
      </x:c>
      <x:c r="C15" s="143" t="str">
        <x:v>意图条件</x:v>
      </x:c>
      <x:c r="D15" s="143" t="str">
        <x:v>护盾·虚弱</x:v>
      </x:c>
      <x:c r="E15" s="143" t="str">
        <x:v>白</x:v>
      </x:c>
      <x:c r="F15" s="143" t="n">
        <x:v>1</x:v>
      </x:c>
      <x:c r="G15" s="143" t="str">
        <x:v>技能</x:v>
      </x:c>
      <x:c r="H15" s="143" t="str">
        <x:v>选择1个敌人。获得6点护盾。若其意图包含攻击，对其施加1回合虚弱。</x:v>
      </x:c>
      <x:c r="I15" s="143" t="str">
        <x:v>只读取攻击意图。</x:v>
      </x:c>
      <x:c r="J15" s="143"/>
      <x:c r="K15" s="143"/>
      <x:c r="L15" s="143"/>
      <x:c r="M15" s="143" t="str">
        <x:v>基础与升级审阅定稿</x:v>
      </x:c>
      <x:c r="N15" s="143" t="str">
        <x:v>2026-08水系逐批审阅。；2026-08-15升级审阅完成。</x:v>
      </x:c>
      <x:c r="O15" s="143" t="str">
        <x:v>水</x:v>
      </x:c>
      <x:c r="P15" s="143" t="n">
        <x:v>1</x:v>
      </x:c>
      <x:c r="Q15" s="143" t="str">
        <x:v>选择1个敌人。获得8点护盾。若其意图包含攻击，对其施加2回合虚弱。</x:v>
      </x:c>
    </x:row>
    <x:row r="16" ht="72" customHeight="1">
      <x:c r="A16" s="143" t="str">
        <x:v>W020</x:v>
      </x:c>
      <x:c r="B16" s="143" t="str">
        <x:v>破阵雨</x:v>
      </x:c>
      <x:c r="C16" s="143" t="str">
        <x:v>意图条件</x:v>
      </x:c>
      <x:c r="D16" s="143" t="str">
        <x:v>多段·能量·调度</x:v>
      </x:c>
      <x:c r="E16" s="143" t="str">
        <x:v>白</x:v>
      </x:c>
      <x:c r="F16" s="143" t="n">
        <x:v>1</x:v>
      </x:c>
      <x:c r="G16" s="143" t="str">
        <x:v>攻击</x:v>
      </x:c>
      <x:c r="H16" s="143" t="str">
        <x:v>造成3点伤害，重复2次。若目标意图包含防御，获得1点能量并抽1张牌。</x:v>
      </x:c>
      <x:c r="I16" s="143" t="str">
        <x:v>只读取防御意图。</x:v>
      </x:c>
      <x:c r="J16" s="143"/>
      <x:c r="K16" s="143"/>
      <x:c r="L16" s="143"/>
      <x:c r="M16" s="143" t="str">
        <x:v>基础与升级审阅定稿</x:v>
      </x:c>
      <x:c r="N16" s="143" t="str">
        <x:v>2026-08水系逐批审阅。；2026-08-15升级审阅完成。</x:v>
      </x:c>
      <x:c r="O16" s="143" t="str">
        <x:v>水</x:v>
      </x:c>
      <x:c r="P16" s="143" t="n">
        <x:v>1</x:v>
      </x:c>
      <x:c r="Q16" s="143" t="str">
        <x:v>造成4点伤害，重复3次。若目标意图包含防御，获得1点能量并抽1张牌。</x:v>
      </x:c>
    </x:row>
    <x:row r="17" ht="72" customHeight="1">
      <x:c r="A17" s="143" t="str">
        <x:v>W021</x:v>
      </x:c>
      <x:c r="B17" s="143" t="str">
        <x:v>绕岸</x:v>
      </x:c>
      <x:c r="C17" s="143" t="str">
        <x:v>意图条件</x:v>
      </x:c>
      <x:c r="D17" s="143" t="str">
        <x:v>调度·能量</x:v>
      </x:c>
      <x:c r="E17" s="143" t="str">
        <x:v>蓝</x:v>
      </x:c>
      <x:c r="F17" s="143" t="n">
        <x:v>1</x:v>
      </x:c>
      <x:c r="G17" s="143" t="str">
        <x:v>技能</x:v>
      </x:c>
      <x:c r="H17" s="143" t="str">
        <x:v>选择1个敌人。抽2张牌。若其意图包含防御，获得1点能量。</x:v>
      </x:c>
      <x:c r="I17" s="143" t="str">
        <x:v>只读取防御意图。</x:v>
      </x:c>
      <x:c r="J17" s="143"/>
      <x:c r="K17" s="143"/>
      <x:c r="L17" s="143"/>
      <x:c r="M17" s="143" t="str">
        <x:v>基础与升级审阅定稿</x:v>
      </x:c>
      <x:c r="N17" s="143" t="str">
        <x:v>2026-08水系逐批审阅。；2026-08-15升级审阅完成。</x:v>
      </x:c>
      <x:c r="O17" s="143" t="str">
        <x:v>水</x:v>
      </x:c>
      <x:c r="P17" s="143" t="n">
        <x:v>1</x:v>
      </x:c>
      <x:c r="Q17" s="143" t="str">
        <x:v>选择1个敌人。抽3张牌。若其意图包含防御，获得1点能量。</x:v>
      </x:c>
    </x:row>
    <x:row r="18" ht="72" customHeight="1">
      <x:c r="A18" s="143" t="str">
        <x:v>W024</x:v>
      </x:c>
      <x:c r="B18" s="143" t="str">
        <x:v>稳舵</x:v>
      </x:c>
      <x:c r="C18" s="143" t="str">
        <x:v>意图条件</x:v>
      </x:c>
      <x:c r="D18" s="143" t="str">
        <x:v>护盾·调度</x:v>
      </x:c>
      <x:c r="E18" s="143" t="str">
        <x:v>蓝</x:v>
      </x:c>
      <x:c r="F18" s="143" t="n">
        <x:v>1</x:v>
      </x:c>
      <x:c r="G18" s="143" t="str">
        <x:v>技能</x:v>
      </x:c>
      <x:c r="H18" s="143" t="str">
        <x:v>选择1个敌人。获得5点护盾。若其意图包含干扰，抽2张牌。</x:v>
      </x:c>
      <x:c r="I18" s="143" t="str">
        <x:v>只读取干扰意图。</x:v>
      </x:c>
      <x:c r="J18" s="143"/>
      <x:c r="K18" s="143"/>
      <x:c r="L18" s="143"/>
      <x:c r="M18" s="143" t="str">
        <x:v>基础与升级审阅定稿</x:v>
      </x:c>
      <x:c r="N18" s="143" t="str">
        <x:v>2026-08水系逐批审阅。；2026-08-15升级审阅完成。</x:v>
      </x:c>
      <x:c r="O18" s="143" t="str">
        <x:v>水</x:v>
      </x:c>
      <x:c r="P18" s="143" t="n">
        <x:v>1</x:v>
      </x:c>
      <x:c r="Q18" s="143" t="str">
        <x:v>选择1个敌人。获得8点护盾。若其意图包含干扰，抽2张牌。</x:v>
      </x:c>
    </x:row>
    <x:row r="19" ht="72" customHeight="1">
      <x:c r="A19" s="143" t="str">
        <x:v>W030</x:v>
      </x:c>
      <x:c r="B19" s="143" t="str">
        <x:v>清泉</x:v>
      </x:c>
      <x:c r="C19" s="143" t="str">
        <x:v>冲刷</x:v>
      </x:c>
      <x:c r="D19" s="143" t="str">
        <x:v>净化·护盾</x:v>
      </x:c>
      <x:c r="E19" s="143" t="str">
        <x:v>白</x:v>
      </x:c>
      <x:c r="F19" s="143" t="n">
        <x:v>2</x:v>
      </x:c>
      <x:c r="G19" s="143" t="str">
        <x:v>技能</x:v>
      </x:c>
      <x:c r="H19" s="143" t="str">
        <x:v>获得14点护盾。移除自身1个可移除的负面状态。</x:v>
      </x:c>
      <x:c r="I19" s="143" t="str">
        <x:v>按2费14护盾标尺。</x:v>
      </x:c>
      <x:c r="J19" s="143"/>
      <x:c r="K19" s="143"/>
      <x:c r="L19" s="143"/>
      <x:c r="M19" s="143" t="str">
        <x:v>基础与升级审阅定稿</x:v>
      </x:c>
      <x:c r="N19" s="143" t="str">
        <x:v>2026-08水系逐批审阅。；2026-08-15升级审阅完成。</x:v>
      </x:c>
      <x:c r="O19" s="143" t="str">
        <x:v>水</x:v>
      </x:c>
      <x:c r="P19" s="143" t="n">
        <x:v>2</x:v>
      </x:c>
      <x:c r="Q19" s="143" t="str">
        <x:v>获得18点护盾。移除自身1个可移除的负面状态。</x:v>
      </x:c>
    </x:row>
    <x:row r="20" ht="72" customHeight="1">
      <x:c r="A20" s="143" t="str">
        <x:v>W034</x:v>
      </x:c>
      <x:c r="B20" s="143" t="str">
        <x:v>澄明</x:v>
      </x:c>
      <x:c r="C20" s="143" t="str">
        <x:v>冲刷</x:v>
      </x:c>
      <x:c r="D20" s="143" t="str">
        <x:v>净化·保留</x:v>
      </x:c>
      <x:c r="E20" s="143" t="str">
        <x:v>金</x:v>
      </x:c>
      <x:c r="F20" s="143" t="n">
        <x:v>1</x:v>
      </x:c>
      <x:c r="G20" s="143" t="str">
        <x:v>技能</x:v>
      </x:c>
      <x:c r="H20" s="143" t="str">
        <x:v>保留。移除自身所有可移除的负面状态。</x:v>
      </x:c>
      <x:c r="I20" s="143" t="str">
        <x:v>可等待合适时机净化。</x:v>
      </x:c>
      <x:c r="J20" s="143"/>
      <x:c r="K20" s="143"/>
      <x:c r="L20" s="143"/>
      <x:c r="M20" s="143" t="str">
        <x:v>基础与升级审阅定稿</x:v>
      </x:c>
      <x:c r="N20" s="143" t="str">
        <x:v>2026-08水系逐批审阅。；2026-08-15升级审阅完成。</x:v>
      </x:c>
      <x:c r="O20" s="143" t="str">
        <x:v>水</x:v>
      </x:c>
      <x:c r="P20" s="143" t="n">
        <x:v>0</x:v>
      </x:c>
      <x:c r="Q20" s="143" t="str">
        <x:v>保留。移除自身所有可移除的负面状态。</x:v>
      </x:c>
    </x:row>
    <x:row r="21" ht="72" customHeight="1">
      <x:c r="A21" s="143" t="str">
        <x:v>W035</x:v>
      </x:c>
      <x:c r="B21" s="143" t="str">
        <x:v>浮沫</x:v>
      </x:c>
      <x:c r="C21" s="143" t="str">
        <x:v>泡影</x:v>
      </x:c>
      <x:c r="D21" s="143" t="str">
        <x:v>泡影·消耗</x:v>
      </x:c>
      <x:c r="E21" s="143" t="str">
        <x:v>蓝</x:v>
      </x:c>
      <x:c r="F21" s="143" t="n">
        <x:v>2</x:v>
      </x:c>
      <x:c r="G21" s="143" t="str">
        <x:v>技能</x:v>
      </x:c>
      <x:c r="H21" s="143" t="str">
        <x:v>获得1层泡影。消耗。</x:v>
      </x:c>
      <x:c r="I21" s="143" t="str">
        <x:v>泡影抵消一次攻击伤害实例。</x:v>
      </x:c>
      <x:c r="J21" s="143"/>
      <x:c r="K21" s="143"/>
      <x:c r="L21" s="143"/>
      <x:c r="M21" s="143" t="str">
        <x:v>基础与升级审阅定稿</x:v>
      </x:c>
      <x:c r="N21" s="143" t="str">
        <x:v>2026-08水系逐批审阅。；2026-08-15升级审阅完成。</x:v>
      </x:c>
      <x:c r="O21" s="143" t="str">
        <x:v>水</x:v>
      </x:c>
      <x:c r="P21" s="143" t="n">
        <x:v>1</x:v>
      </x:c>
      <x:c r="Q21" s="143" t="str">
        <x:v>获得1层泡影。消耗。</x:v>
      </x:c>
    </x:row>
    <x:row r="22" ht="72" customHeight="1">
      <x:c r="A22" s="143" t="str">
        <x:v>W038</x:v>
      </x:c>
      <x:c r="B22" s="143" t="str">
        <x:v>凝流</x:v>
      </x:c>
      <x:c r="C22" s="143" t="str">
        <x:v>保留</x:v>
      </x:c>
      <x:c r="D22" s="143" t="str">
        <x:v>护盾·保留</x:v>
      </x:c>
      <x:c r="E22" s="143" t="str">
        <x:v>白</x:v>
      </x:c>
      <x:c r="F22" s="143" t="n">
        <x:v>1</x:v>
      </x:c>
      <x:c r="G22" s="143" t="str">
        <x:v>技能</x:v>
      </x:c>
      <x:c r="H22" s="143" t="str">
        <x:v>获得5点护盾。选择1张其他手牌，使其获得保留。</x:v>
      </x:c>
      <x:c r="I22" s="143" t="str">
        <x:v>可选择任意属性牌。</x:v>
      </x:c>
      <x:c r="J22" s="143"/>
      <x:c r="K22" s="143"/>
      <x:c r="L22" s="143"/>
      <x:c r="M22" s="143" t="str">
        <x:v>基础与升级审阅定稿</x:v>
      </x:c>
      <x:c r="N22" s="143" t="str">
        <x:v>2026-08水系逐批审阅。；2026-08-15升级审阅完成。</x:v>
      </x:c>
      <x:c r="O22" s="143" t="str">
        <x:v>水</x:v>
      </x:c>
      <x:c r="P22" s="143" t="n">
        <x:v>1</x:v>
      </x:c>
      <x:c r="Q22" s="143" t="str">
        <x:v>获得8点护盾。选择1张其他手牌，使其获得保留。</x:v>
      </x:c>
    </x:row>
    <x:row r="23" ht="72" customHeight="1">
      <x:c r="A23" s="143" t="str">
        <x:v>W039</x:v>
      </x:c>
      <x:c r="B23" s="143" t="str">
        <x:v>静水深流</x:v>
      </x:c>
      <x:c r="C23" s="143" t="str">
        <x:v>保留</x:v>
      </x:c>
      <x:c r="D23" s="143" t="str">
        <x:v>调度·保留</x:v>
      </x:c>
      <x:c r="E23" s="143" t="str">
        <x:v>蓝</x:v>
      </x:c>
      <x:c r="F23" s="143" t="n">
        <x:v>1</x:v>
      </x:c>
      <x:c r="G23" s="143" t="str">
        <x:v>技能</x:v>
      </x:c>
      <x:c r="H23" s="143" t="str">
        <x:v>抽2张牌。选择1张手牌，使其获得保留。</x:v>
      </x:c>
      <x:c r="I23" s="143" t="str">
        <x:v>选择抽牌后的手牌。</x:v>
      </x:c>
      <x:c r="J23" s="143"/>
      <x:c r="K23" s="143"/>
      <x:c r="L23" s="143"/>
      <x:c r="M23" s="143" t="str">
        <x:v>基础与升级审阅定稿</x:v>
      </x:c>
      <x:c r="N23" s="143" t="str">
        <x:v>2026-08水系逐批审阅。；2026-08-15升级审阅完成。</x:v>
      </x:c>
      <x:c r="O23" s="143" t="str">
        <x:v>水</x:v>
      </x:c>
      <x:c r="P23" s="143" t="n">
        <x:v>1</x:v>
      </x:c>
      <x:c r="Q23" s="143" t="str">
        <x:v>抽3张牌。选择1张手牌，使其获得保留。</x:v>
      </x:c>
    </x:row>
    <x:row r="24" ht="72" customHeight="1">
      <x:c r="A24" s="143" t="str">
        <x:v>W040</x:v>
      </x:c>
      <x:c r="B24" s="143" t="str">
        <x:v>浮升</x:v>
      </x:c>
      <x:c r="C24" s="143" t="str">
        <x:v>减费</x:v>
      </x:c>
      <x:c r="D24" s="143" t="str">
        <x:v>减费·消耗</x:v>
      </x:c>
      <x:c r="E24" s="143" t="str">
        <x:v>蓝</x:v>
      </x:c>
      <x:c r="F24" s="143" t="n">
        <x:v>1</x:v>
      </x:c>
      <x:c r="G24" s="143" t="str">
        <x:v>技能</x:v>
      </x:c>
      <x:c r="H24" s="143" t="str">
        <x:v>从抽牌堆中选择1张牌。该牌本场战斗中费用-1（最低为0）。消耗。</x:v>
      </x:c>
      <x:c r="I24" s="143" t="str">
        <x:v>实体牌永久减费。</x:v>
      </x:c>
      <x:c r="J24" s="143"/>
      <x:c r="K24" s="143"/>
      <x:c r="L24" s="143"/>
      <x:c r="M24" s="143" t="str">
        <x:v>基础与升级审阅定稿</x:v>
      </x:c>
      <x:c r="N24" s="143" t="str">
        <x:v>2026-08水系逐批审阅。；2026-08-15升级审阅完成。</x:v>
      </x:c>
      <x:c r="O24" s="143" t="str">
        <x:v>水</x:v>
      </x:c>
      <x:c r="P24" s="143" t="n">
        <x:v>1</x:v>
      </x:c>
      <x:c r="Q24" s="143" t="str">
        <x:v>从抽牌堆中选择1张牌。该牌本场战斗中费用-1（最低为0）。</x:v>
      </x:c>
    </x:row>
    <x:row r="25" ht="72" customHeight="1">
      <x:c r="A25" s="143" t="str">
        <x:v>W041</x:v>
      </x:c>
      <x:c r="B25" s="143" t="str">
        <x:v>轻舟</x:v>
      </x:c>
      <x:c r="C25" s="143" t="str">
        <x:v>减费</x:v>
      </x:c>
      <x:c r="D25" s="143" t="str">
        <x:v>减费·随机·消耗</x:v>
      </x:c>
      <x:c r="E25" s="143" t="str">
        <x:v>金</x:v>
      </x:c>
      <x:c r="F25" s="143" t="n">
        <x:v>1</x:v>
      </x:c>
      <x:c r="G25" s="143" t="str">
        <x:v>技能</x:v>
      </x:c>
      <x:c r="H25" s="143" t="str">
        <x:v>随机使抽牌堆中的3张牌本场战斗中费用-1（最低为0）。消耗。</x:v>
      </x:c>
      <x:c r="I25" s="143" t="str">
        <x:v>减费持续整场。</x:v>
      </x:c>
      <x:c r="J25" s="143"/>
      <x:c r="K25" s="143"/>
      <x:c r="L25" s="143"/>
      <x:c r="M25" s="143" t="str">
        <x:v>基础与升级审阅定稿</x:v>
      </x:c>
      <x:c r="N25" s="143" t="str">
        <x:v>2026-08水系逐批审阅。；2026-08-15升级审阅完成。</x:v>
      </x:c>
      <x:c r="O25" s="143" t="str">
        <x:v>水</x:v>
      </x:c>
      <x:c r="P25" s="143" t="n">
        <x:v>1</x:v>
      </x:c>
      <x:c r="Q25" s="143" t="str">
        <x:v>随机使抽牌堆中的5张牌本场战斗中费用-1（最低为0）。消耗。</x:v>
      </x:c>
    </x:row>
    <x:row r="26" ht="72" customHeight="1">
      <x:c r="A26" s="143" t="str">
        <x:v>W042</x:v>
      </x:c>
      <x:c r="B26" s="143" t="str">
        <x:v>蓄水池</x:v>
      </x:c>
      <x:c r="C26" s="143" t="str">
        <x:v>能量保留</x:v>
      </x:c>
      <x:c r="D26" s="143" t="str">
        <x:v>能量·能力</x:v>
      </x:c>
      <x:c r="E26" s="143" t="str">
        <x:v>金</x:v>
      </x:c>
      <x:c r="F26" s="143" t="n">
        <x:v>1</x:v>
      </x:c>
      <x:c r="G26" s="143" t="str">
        <x:v>能力</x:v>
      </x:c>
      <x:c r="H26" s="143" t="str">
        <x:v>本场战斗中，回合结束时保留所有未消耗的能量。</x:v>
      </x:c>
      <x:c r="I26" s="143" t="str">
        <x:v>未设置保留上限。</x:v>
      </x:c>
      <x:c r="J26" s="143"/>
      <x:c r="K26" s="143"/>
      <x:c r="L26" s="143"/>
      <x:c r="M26" s="143" t="str">
        <x:v>基础与升级审阅定稿</x:v>
      </x:c>
      <x:c r="N26" s="143" t="str">
        <x:v>2026-08水系逐批审阅。；2026-08-15升级审阅完成。</x:v>
      </x:c>
      <x:c r="O26" s="143" t="str">
        <x:v>水</x:v>
      </x:c>
      <x:c r="P26" s="143" t="n">
        <x:v>0</x:v>
      </x:c>
      <x:c r="Q26" s="143" t="str">
        <x:v>本场战斗中，回合结束时保留所有未消耗的能量。</x:v>
      </x:c>
    </x:row>
    <x:row r="27" ht="72" customHeight="1">
      <x:c r="A27" s="143" t="str">
        <x:v>W044</x:v>
      </x:c>
      <x:c r="B27" s="143" t="str">
        <x:v>漫天雨</x:v>
      </x:c>
      <x:c r="C27" s="143" t="str">
        <x:v>X费</x:v>
      </x:c>
      <x:c r="D27" s="143" t="str">
        <x:v>X费·多段·扩散</x:v>
      </x:c>
      <x:c r="E27" s="143" t="str">
        <x:v>蓝</x:v>
      </x:c>
      <x:c r="F27" s="143" t="str">
        <x:v>X</x:v>
      </x:c>
      <x:c r="G27" s="143" t="str">
        <x:v>攻击</x:v>
      </x:c>
      <x:c r="H27" s="143" t="str">
        <x:v>消耗所有能量。对敌方全体造成5点伤害，重复X次（X=消耗的能量）。</x:v>
      </x:c>
      <x:c r="I27" s="143" t="str">
        <x:v>每次重复独立获得力量加成。</x:v>
      </x:c>
      <x:c r="J27" s="143"/>
      <x:c r="K27" s="143"/>
      <x:c r="L27" s="143"/>
      <x:c r="M27" s="143" t="str">
        <x:v>基础与升级审阅定稿</x:v>
      </x:c>
      <x:c r="N27" s="143" t="str">
        <x:v>2026-08水系逐批审阅。；2026-08-15升级审阅完成。</x:v>
      </x:c>
      <x:c r="O27" s="143" t="str">
        <x:v>水</x:v>
      </x:c>
      <x:c r="P27" s="143" t="str">
        <x:v>X</x:v>
      </x:c>
      <x:c r="Q27" s="143" t="str">
        <x:v>消耗所有能量。对敌方全体造成8点伤害，重复X次（X=消耗的能量）。</x:v>
      </x:c>
    </x:row>
    <x:row r="28" ht="72" customHeight="1">
      <x:c r="A28" s="143" t="str">
        <x:v>W051</x:v>
      </x:c>
      <x:c r="B28" s="143" t="str">
        <x:v>点眼雨</x:v>
      </x:c>
      <x:c r="C28" s="143" t="str">
        <x:v>虚弱</x:v>
      </x:c>
      <x:c r="D28" s="143" t="str">
        <x:v>虚弱·意图条件</x:v>
      </x:c>
      <x:c r="E28" s="143" t="str">
        <x:v>白</x:v>
      </x:c>
      <x:c r="F28" s="143" t="n">
        <x:v>0</x:v>
      </x:c>
      <x:c r="G28" s="143" t="str">
        <x:v>攻击</x:v>
      </x:c>
      <x:c r="H28" s="143" t="str">
        <x:v>造成3点伤害。若目标意图包含攻击，施加1回合虚弱。</x:v>
      </x:c>
      <x:c r="I28" s="143" t="str">
        <x:v>只读取攻击意图。</x:v>
      </x:c>
      <x:c r="J28" s="143"/>
      <x:c r="K28" s="143"/>
      <x:c r="L28" s="143"/>
      <x:c r="M28" s="143" t="str">
        <x:v>基础与升级审阅定稿</x:v>
      </x:c>
      <x:c r="N28" s="143" t="str">
        <x:v>2026-08水系逐批审阅。；2026-08-15升级审阅完成。</x:v>
      </x:c>
      <x:c r="O28" s="143" t="str">
        <x:v>水</x:v>
      </x:c>
      <x:c r="P28" s="143" t="n">
        <x:v>0</x:v>
      </x:c>
      <x:c r="Q28" s="143" t="str">
        <x:v>造成4点伤害。若目标意图包含攻击，施加2回合虚弱。</x:v>
      </x:c>
    </x:row>
    <x:row r="29" ht="72" customHeight="1">
      <x:c r="A29" s="143" t="str">
        <x:v>W053</x:v>
      </x:c>
      <x:c r="B29" s="143" t="str">
        <x:v>扫潮</x:v>
      </x:c>
      <x:c r="C29" s="143" t="str">
        <x:v>虚弱</x:v>
      </x:c>
      <x:c r="D29" s="143" t="str">
        <x:v>护盾·虚弱</x:v>
      </x:c>
      <x:c r="E29" s="143" t="str">
        <x:v>蓝</x:v>
      </x:c>
      <x:c r="F29" s="143" t="n">
        <x:v>2</x:v>
      </x:c>
      <x:c r="G29" s="143" t="str">
        <x:v>技能</x:v>
      </x:c>
      <x:c r="H29" s="143" t="str">
        <x:v>获得11点护盾。施加2回合虚弱。</x:v>
      </x:c>
      <x:c r="I29" s="143" t="str">
        <x:v>按Leg Sweep标尺。</x:v>
      </x:c>
      <x:c r="J29" s="143"/>
      <x:c r="K29" s="143"/>
      <x:c r="L29" s="143"/>
      <x:c r="M29" s="143" t="str">
        <x:v>基础与升级审阅定稿</x:v>
      </x:c>
      <x:c r="N29" s="143" t="str">
        <x:v>2026-08水系逐批审阅。；2026-08-15升级审阅完成。</x:v>
      </x:c>
      <x:c r="O29" s="143" t="str">
        <x:v>水</x:v>
      </x:c>
      <x:c r="P29" s="143" t="n">
        <x:v>2</x:v>
      </x:c>
      <x:c r="Q29" s="143" t="str">
        <x:v>获得14点护盾。施加3回合虚弱。</x:v>
      </x:c>
    </x:row>
    <x:row r="30" ht="72" customHeight="1">
      <x:c r="A30" s="143" t="str">
        <x:v>W057</x:v>
      </x:c>
      <x:c r="B30" s="143" t="str">
        <x:v>回流钩</x:v>
      </x:c>
      <x:c r="C30" s="143" t="str">
        <x:v>虚弱</x:v>
      </x:c>
      <x:c r="D30" s="143" t="str">
        <x:v>虚弱读取·能量·调度</x:v>
      </x:c>
      <x:c r="E30" s="143" t="str">
        <x:v>蓝</x:v>
      </x:c>
      <x:c r="F30" s="143" t="n">
        <x:v>1</x:v>
      </x:c>
      <x:c r="G30" s="143" t="str">
        <x:v>攻击</x:v>
      </x:c>
      <x:c r="H30" s="143" t="str">
        <x:v>造成9点伤害。若目标处于虚弱，获得1点能量并抽1张牌。</x:v>
      </x:c>
      <x:c r="I30" s="143" t="str">
        <x:v>虚弱命中时返还能量并过牌。</x:v>
      </x:c>
      <x:c r="J30" s="143"/>
      <x:c r="K30" s="143"/>
      <x:c r="L30" s="143"/>
      <x:c r="M30" s="143" t="str">
        <x:v>基础与升级审阅定稿</x:v>
      </x:c>
      <x:c r="N30" s="143" t="str">
        <x:v>2026-08水系逐批审阅。；2026-08-15升级审阅完成。</x:v>
      </x:c>
      <x:c r="O30" s="143" t="str">
        <x:v>水</x:v>
      </x:c>
      <x:c r="P30" s="143" t="n">
        <x:v>1</x:v>
      </x:c>
      <x:c r="Q30" s="143" t="str">
        <x:v>造成12点伤害。若目标处于虚弱，获得1点能量并抽1张牌。</x:v>
      </x:c>
    </x:row>
    <x:row r="31" ht="72" customHeight="1">
      <x:c r="A31" s="143" t="str">
        <x:v>W058</x:v>
      </x:c>
      <x:c r="B31" s="143" t="str">
        <x:v>逆潮供能</x:v>
      </x:c>
      <x:c r="C31" s="143" t="str">
        <x:v>主动负面</x:v>
      </x:c>
      <x:c r="D31" s="143" t="str">
        <x:v>自施负面·能量·能力·消耗</x:v>
      </x:c>
      <x:c r="E31" s="143" t="str">
        <x:v>金</x:v>
      </x:c>
      <x:c r="F31" s="143" t="n">
        <x:v>1</x:v>
      </x:c>
      <x:c r="G31" s="143" t="str">
        <x:v>能力</x:v>
      </x:c>
      <x:c r="H31" s="143" t="str">
        <x:v>失去2点力量。本场战斗中，能量上限+1。消耗。</x:v>
      </x:c>
      <x:c r="I31" s="143" t="str">
        <x:v>力量降低可被净化。</x:v>
      </x:c>
      <x:c r="J31" s="143"/>
      <x:c r="K31" s="143"/>
      <x:c r="L31" s="143"/>
      <x:c r="M31" s="143" t="str">
        <x:v>基础与升级审阅定稿</x:v>
      </x:c>
      <x:c r="N31" s="143" t="str">
        <x:v>2026-08水系逐批审阅。；2026-08-15升级审阅完成。</x:v>
      </x:c>
      <x:c r="O31" s="143" t="str">
        <x:v>水</x:v>
      </x:c>
      <x:c r="P31" s="143" t="n">
        <x:v>0</x:v>
      </x:c>
      <x:c r="Q31" s="143" t="str">
        <x:v>失去2点力量。本场战斗中，能量上限+1。消耗。</x:v>
      </x:c>
    </x:row>
    <x:row r="32" ht="72" customHeight="1">
      <x:c r="A32" s="143" t="str">
        <x:v>W059</x:v>
      </x:c>
      <x:c r="B32" s="143" t="str">
        <x:v>万流归一</x:v>
      </x:c>
      <x:c r="C32" s="143" t="str">
        <x:v>减费</x:v>
      </x:c>
      <x:c r="D32" s="143" t="str">
        <x:v>全牌库减费</x:v>
      </x:c>
      <x:c r="E32" s="143" t="str">
        <x:v>金</x:v>
      </x:c>
      <x:c r="F32" s="143" t="n">
        <x:v>3</x:v>
      </x:c>
      <x:c r="G32" s="143" t="str">
        <x:v>技能</x:v>
      </x:c>
      <x:c r="H32" s="143" t="str">
        <x:v>本场战斗中，使手牌、抽牌堆和弃牌堆中所有牌的费用-1（最低为0）。</x:v>
      </x:c>
      <x:c r="I32" s="143" t="str">
        <x:v>覆盖当前战斗中所有未消耗的实体牌。</x:v>
      </x:c>
      <x:c r="J32" s="143"/>
      <x:c r="K32" s="143"/>
      <x:c r="L32" s="143"/>
      <x:c r="M32" s="143" t="str">
        <x:v>基础与升级审阅定稿</x:v>
      </x:c>
      <x:c r="N32" s="143" t="str">
        <x:v>2026-08水系逐批审阅。；2026-08-15升级审阅完成。</x:v>
      </x:c>
      <x:c r="O32" s="143" t="str">
        <x:v>水</x:v>
      </x:c>
      <x:c r="P32" s="143" t="n">
        <x:v>2</x:v>
      </x:c>
      <x:c r="Q32" s="143" t="str">
        <x:v>本场战斗中，使手牌、抽牌堆和弃牌堆中所有牌的费用-1（最低为0）。</x:v>
      </x:c>
    </x:row>
    <x:row r="33" ht="72" customHeight="1">
      <x:c r="A33" s="143" t="str">
        <x:v>W060</x:v>
      </x:c>
      <x:c r="B33" s="143" t="str">
        <x:v>削力潮场</x:v>
      </x:c>
      <x:c r="C33" s="143" t="str">
        <x:v>多段</x:v>
      </x:c>
      <x:c r="D33" s="143" t="str">
        <x:v>能力·多段·临时力量削减·消耗</x:v>
      </x:c>
      <x:c r="E33" s="143" t="str">
        <x:v>金</x:v>
      </x:c>
      <x:c r="F33" s="143" t="n">
        <x:v>2</x:v>
      </x:c>
      <x:c r="G33" s="143" t="str">
        <x:v>能力</x:v>
      </x:c>
      <x:c r="H33" s="143" t="str">
        <x:v>本场战斗中，每当伤害牌的一段伤害命中敌人时，使其暂时失去1点力量。消耗。</x:v>
      </x:c>
      <x:c r="I33" s="143" t="str">
        <x:v>临时力量降低持续至该敌人下个回合结束；每段独立触发。</x:v>
      </x:c>
      <x:c r="J33" s="143"/>
      <x:c r="K33" s="143"/>
      <x:c r="L33" s="143"/>
      <x:c r="M33" s="143" t="str">
        <x:v>基础与升级审阅定稿</x:v>
      </x:c>
      <x:c r="N33" s="143" t="str">
        <x:v>2026-08水系逐批审阅。；2026-08-15升级审阅完成。</x:v>
      </x:c>
      <x:c r="O33" s="143" t="str">
        <x:v>水</x:v>
      </x:c>
      <x:c r="P33" s="143" t="n">
        <x:v>1</x:v>
      </x:c>
      <x:c r="Q33" s="143" t="str">
        <x:v>本场战斗中，每当伤害牌的一段伤害命中敌人时，使其暂时失去1点力量。消耗。</x:v>
      </x:c>
    </x:row>
    <x:row r="34" ht="72" customHeight="1">
      <x:c r="A34" s="143" t="str">
        <x:v>W061</x:v>
      </x:c>
      <x:c r="B34" s="143" t="str">
        <x:v>倒灌</x:v>
      </x:c>
      <x:c r="C34" s="143" t="str">
        <x:v>主动负面</x:v>
      </x:c>
      <x:c r="D34" s="143" t="str">
        <x:v>自施脆弱·调度·消耗</x:v>
      </x:c>
      <x:c r="E34" s="143" t="str">
        <x:v>蓝</x:v>
      </x:c>
      <x:c r="F34" s="143" t="n">
        <x:v>0</x:v>
      </x:c>
      <x:c r="G34" s="143" t="str">
        <x:v>技能</x:v>
      </x:c>
      <x:c r="H34" s="143" t="str">
        <x:v>对自己施加2回合脆弱。抽3张牌。消耗。</x:v>
      </x:c>
      <x:c r="I34" s="143" t="str">
        <x:v>主动负面与净化闭环。</x:v>
      </x:c>
      <x:c r="J34" s="143"/>
      <x:c r="K34" s="143"/>
      <x:c r="L34" s="143"/>
      <x:c r="M34" s="143" t="str">
        <x:v>基础与升级审阅定稿</x:v>
      </x:c>
      <x:c r="N34" s="143" t="str">
        <x:v>2026-08水系逐批审阅。；2026-08-15升级审阅完成。</x:v>
      </x:c>
      <x:c r="O34" s="143" t="str">
        <x:v>水</x:v>
      </x:c>
      <x:c r="P34" s="143" t="n">
        <x:v>0</x:v>
      </x:c>
      <x:c r="Q34" s="143" t="str">
        <x:v>对自己施加2回合脆弱。抽4张牌。消耗。</x:v>
      </x:c>
    </x:row>
    <x:row r="35" ht="72" customHeight="1">
      <x:c r="A35" s="143" t="str">
        <x:v>W062</x:v>
      </x:c>
      <x:c r="B35" s="143" t="str">
        <x:v>透支潮</x:v>
      </x:c>
      <x:c r="C35" s="143" t="str">
        <x:v>主动负面</x:v>
      </x:c>
      <x:c r="D35" s="143" t="str">
        <x:v>自施虚弱·能量·消耗</x:v>
      </x:c>
      <x:c r="E35" s="143" t="str">
        <x:v>蓝</x:v>
      </x:c>
      <x:c r="F35" s="143" t="n">
        <x:v>0</x:v>
      </x:c>
      <x:c r="G35" s="143" t="str">
        <x:v>技能</x:v>
      </x:c>
      <x:c r="H35" s="143" t="str">
        <x:v>对自己施加2回合虚弱。获得2点能量。消耗。</x:v>
      </x:c>
      <x:c r="I35" s="143" t="str">
        <x:v>主动负面与净化闭环。</x:v>
      </x:c>
      <x:c r="J35" s="143"/>
      <x:c r="K35" s="143"/>
      <x:c r="L35" s="143"/>
      <x:c r="M35" s="143" t="str">
        <x:v>基础与升级审阅定稿</x:v>
      </x:c>
      <x:c r="N35" s="143" t="str">
        <x:v>2026-08水系逐批审阅。；2026-08-15升级审阅完成。</x:v>
      </x:c>
      <x:c r="O35" s="143" t="str">
        <x:v>水</x:v>
      </x:c>
      <x:c r="P35" s="143" t="n">
        <x:v>0</x:v>
      </x:c>
      <x:c r="Q35" s="143" t="str">
        <x:v>对自己施加2回合虚弱。获得3点能量。消耗。</x:v>
      </x:c>
    </x:row>
    <x:row r="36" ht="72" customHeight="1">
      <x:c r="A36" s="143" t="str">
        <x:v>BX021</x:v>
      </x:c>
      <x:c r="B36" s="143" t="str">
        <x:v>折光双潮</x:v>
      </x:c>
      <x:c r="C36" s="143" t="str">
        <x:v>双系胶水</x:v>
      </x:c>
      <x:c r="D36" s="143" t="str">
        <x:v>多段·强化手牌·重复次数</x:v>
      </x:c>
      <x:c r="E36" s="143" t="str">
        <x:v>金</x:v>
      </x:c>
      <x:c r="F36" s="143" t="n">
        <x:v>2</x:v>
      </x:c>
      <x:c r="G36" s="143" t="str">
        <x:v>攻击</x:v>
      </x:c>
      <x:c r="H36" s="143" t="str">
        <x:v>造成9点伤害，重复2次。选择手牌中1张多段伤害牌。本场战斗中，其重复次数+1。</x:v>
      </x:c>
      <x:c r="I36" s="143" t="str">
        <x:v>同步光系与胶水池。</x:v>
      </x:c>
      <x:c r="J36" s="143"/>
      <x:c r="K36" s="143"/>
      <x:c r="L36" s="143"/>
      <x:c r="M36" s="143" t="str">
        <x:v>基础与升级审阅定稿</x:v>
      </x:c>
      <x:c r="N36" s="143" t="str">
        <x:v>2026-08水系逐批审阅。；2026-08-15升级审阅完成。</x:v>
      </x:c>
      <x:c r="O36" s="143" t="str">
        <x:v>水·光</x:v>
      </x:c>
      <x:c r="P36" s="143" t="n">
        <x:v>2</x:v>
      </x:c>
      <x:c r="Q36" s="143" t="str">
        <x:v>造成12点伤害，重复2次。选择手牌中1张多段伤害牌。本场战斗中，其重复次数+1。</x:v>
      </x:c>
    </x:row>
    <x:row r="37" ht="72" customHeight="1">
      <x:c r="A37" s="143" t="str">
        <x:v>BX022</x:v>
      </x:c>
      <x:c r="B37" s="143" t="str">
        <x:v>灼浪侵袭</x:v>
      </x:c>
      <x:c r="C37" s="143" t="str">
        <x:v>双系胶水</x:v>
      </x:c>
      <x:c r="D37" s="143" t="str">
        <x:v>灼伤·虚弱</x:v>
      </x:c>
      <x:c r="E37" s="143" t="str">
        <x:v>蓝</x:v>
      </x:c>
      <x:c r="F37" s="143" t="n">
        <x:v>2</x:v>
      </x:c>
      <x:c r="G37" s="143" t="str">
        <x:v>攻击</x:v>
      </x:c>
      <x:c r="H37" s="143" t="str">
        <x:v>造成11点伤害。施加2层灼伤和2回合虚弱。</x:v>
      </x:c>
      <x:c r="I37" s="143" t="str">
        <x:v>同步火系与胶水池。</x:v>
      </x:c>
      <x:c r="J37" s="143"/>
      <x:c r="K37" s="143"/>
      <x:c r="L37" s="143"/>
      <x:c r="M37" s="143" t="str">
        <x:v>基础与升级审阅定稿</x:v>
      </x:c>
      <x:c r="N37" s="143" t="str">
        <x:v>2026-08水系逐批审阅。；2026-08-15升级审阅完成。</x:v>
      </x:c>
      <x:c r="O37" s="143" t="str">
        <x:v>火·水</x:v>
      </x:c>
      <x:c r="P37" s="143" t="n">
        <x:v>2</x:v>
      </x:c>
      <x:c r="Q37" s="143" t="str">
        <x:v>造成11点伤害。施加3层灼伤和3回合虚弱。</x:v>
      </x:c>
    </x:row>
    <x:row r="38" ht="72" customHeight="1">
      <x:c r="A38" s="143" t="str">
        <x:v>BX023</x:v>
      </x:c>
      <x:c r="B38" s="143" t="str">
        <x:v>逆压</x:v>
      </x:c>
      <x:c r="C38" s="143" t="str">
        <x:v>主动负面</x:v>
      </x:c>
      <x:c r="D38" s="143" t="str">
        <x:v>自施灼伤·高伤·消耗</x:v>
      </x:c>
      <x:c r="E38" s="143" t="str">
        <x:v>蓝</x:v>
      </x:c>
      <x:c r="F38" s="143" t="n">
        <x:v>1</x:v>
      </x:c>
      <x:c r="G38" s="143" t="str">
        <x:v>攻击</x:v>
      </x:c>
      <x:c r="H38" s="143" t="str">
        <x:v>造成24点伤害。对自己施加2层灼伤。消耗。</x:v>
      </x:c>
      <x:c r="I38" s="143" t="str">
        <x:v>灼伤可被水系净化。</x:v>
      </x:c>
      <x:c r="J38" s="143"/>
      <x:c r="K38" s="143"/>
      <x:c r="L38" s="143"/>
      <x:c r="M38" s="143" t="str">
        <x:v>基础与升级审阅定稿</x:v>
      </x:c>
      <x:c r="N38" s="143" t="str">
        <x:v>2026-08水系逐批审阅。；2026-08-15升级审阅完成。</x:v>
      </x:c>
      <x:c r="O38" s="143" t="str">
        <x:v>火·水</x:v>
      </x:c>
      <x:c r="P38" s="143" t="n">
        <x:v>1</x:v>
      </x:c>
      <x:c r="Q38" s="143" t="str">
        <x:v>造成30点伤害。对自己施加2层灼伤。消耗。</x:v>
      </x:c>
    </x:row>
    <x:row r="39" ht="72" customHeight="1">
      <x:c r="A39" s="143" t="str">
        <x:v>BX024</x:v>
      </x:c>
      <x:c r="B39" s="143" t="str">
        <x:v>沉身</x:v>
      </x:c>
      <x:c r="C39" s="143" t="str">
        <x:v>主动负面</x:v>
      </x:c>
      <x:c r="D39" s="143" t="str">
        <x:v>敏捷降低·护盾·消耗</x:v>
      </x:c>
      <x:c r="E39" s="143" t="str">
        <x:v>蓝</x:v>
      </x:c>
      <x:c r="F39" s="143" t="n">
        <x:v>1</x:v>
      </x:c>
      <x:c r="G39" s="143" t="str">
        <x:v>技能</x:v>
      </x:c>
      <x:c r="H39" s="143" t="str">
        <x:v>失去2点敏捷。获得20点护盾。消耗。</x:v>
      </x:c>
      <x:c r="I39" s="143" t="str">
        <x:v>同步草系与胶水池。</x:v>
      </x:c>
      <x:c r="J39" s="143"/>
      <x:c r="K39" s="143"/>
      <x:c r="L39" s="143"/>
      <x:c r="M39" s="143" t="str">
        <x:v>基础与升级审阅定稿</x:v>
      </x:c>
      <x:c r="N39" s="143" t="str">
        <x:v>2026-08水系逐批审阅。；2026-08-15升级审阅完成。</x:v>
      </x:c>
      <x:c r="O39" s="143" t="str">
        <x:v>草·水</x:v>
      </x:c>
      <x:c r="P39" s="143" t="n">
        <x:v>1</x:v>
      </x:c>
      <x:c r="Q39" s="143" t="str">
        <x:v>失去2点敏捷。获得26点护盾。消耗。</x:v>
      </x:c>
    </x:row>
    <x:row r="40" ht="72" customHeight="1">
      <x:c r="A40" s="143" t="str">
        <x:v>BX025</x:v>
      </x:c>
      <x:c r="B40" s="143" t="str">
        <x:v>破舵</x:v>
      </x:c>
      <x:c r="C40" s="143" t="str">
        <x:v>主动负面</x:v>
      </x:c>
      <x:c r="D40" s="143" t="str">
        <x:v>敏捷降低·泡影·消耗</x:v>
      </x:c>
      <x:c r="E40" s="143" t="str">
        <x:v>金</x:v>
      </x:c>
      <x:c r="F40" s="143" t="n">
        <x:v>2</x:v>
      </x:c>
      <x:c r="G40" s="143" t="str">
        <x:v>技能</x:v>
      </x:c>
      <x:c r="H40" s="143" t="str">
        <x:v>失去3点敏捷。获得3层泡影。消耗。</x:v>
      </x:c>
      <x:c r="I40" s="143" t="str">
        <x:v>同步草系与胶水池。</x:v>
      </x:c>
      <x:c r="J40" s="143"/>
      <x:c r="K40" s="143"/>
      <x:c r="L40" s="143"/>
      <x:c r="M40" s="143" t="str">
        <x:v>基础与升级审阅定稿</x:v>
      </x:c>
      <x:c r="N40" s="143" t="str">
        <x:v>2026-08水系逐批审阅。；2026-08-15升级审阅完成。</x:v>
      </x:c>
      <x:c r="O40" s="143" t="str">
        <x:v>草·水</x:v>
      </x:c>
      <x:c r="P40" s="143" t="n">
        <x:v>1</x:v>
      </x:c>
      <x:c r="Q40" s="143" t="str">
        <x:v>失去3点敏捷。获得3层泡影。消耗。</x:v>
      </x:c>
    </x:row>
    <x:row r="41" ht="72" customHeight="1">
      <x:c r="A41" s="143" t="str">
        <x:v>BX026</x:v>
      </x:c>
      <x:c r="B41" s="143" t="str">
        <x:v>失衡爆流</x:v>
      </x:c>
      <x:c r="C41" s="143" t="str">
        <x:v>主动负面</x:v>
      </x:c>
      <x:c r="D41" s="143" t="str">
        <x:v>力量降低·敏捷降低·多段</x:v>
      </x:c>
      <x:c r="E41" s="143" t="str">
        <x:v>金</x:v>
      </x:c>
      <x:c r="F41" s="143" t="n">
        <x:v>1</x:v>
      </x:c>
      <x:c r="G41" s="143" t="str">
        <x:v>攻击</x:v>
      </x:c>
      <x:c r="H41" s="143" t="str">
        <x:v>失去2点力量和2点敏捷。造成15点伤害，重复2次。</x:v>
      </x:c>
      <x:c r="I41" s="143" t="str">
        <x:v>同步火系与胶水池。</x:v>
      </x:c>
      <x:c r="J41" s="143"/>
      <x:c r="K41" s="143"/>
      <x:c r="L41" s="143"/>
      <x:c r="M41" s="143" t="str">
        <x:v>基础与升级审阅定稿</x:v>
      </x:c>
      <x:c r="N41" s="143" t="str">
        <x:v>2026-08水系逐批审阅。；2026-08-15升级审阅完成。</x:v>
      </x:c>
      <x:c r="O41" s="143" t="str">
        <x:v>火·水</x:v>
      </x:c>
      <x:c r="P41" s="143" t="n">
        <x:v>1</x:v>
      </x:c>
      <x:c r="Q41" s="143" t="str">
        <x:v>失去2点力量和2点敏捷。造成18点伤害，重复2次。</x:v>
      </x:c>
    </x:row>
    <x:row r="42" ht="72" customHeight="1">
      <x:c r="A42" s="143" t="str">
        <x:v>BX005</x:v>
      </x:c>
      <x:c r="B42" s="143" t="str">
        <x:v>锅炉泄压</x:v>
      </x:c>
      <x:c r="C42" s="143" t="str">
        <x:v>双系胶水</x:v>
      </x:c>
      <x:c r="D42" s="143" t="str">
        <x:v>焚毁 ↔ X费</x:v>
      </x:c>
      <x:c r="E42" s="143" t="str">
        <x:v>金</x:v>
      </x:c>
      <x:c r="F42" s="143" t="str">
        <x:v>0</x:v>
      </x:c>
      <x:c r="G42" s="143" t="str">
        <x:v>技能</x:v>
      </x:c>
      <x:c r="H42" s="143" t="str">
        <x:v>焚毁任意张手牌。本回合打出的下一张X费牌结算时，X增加N（N=本次焚毁的牌数）。消耗。</x:v>
      </x:c>
      <x:c r="I42" s="143" t="str">
        <x:v>把火系烧手牌的代价转换成水系X费的额外结算规模；为了大X必须主动缩减本回合手牌。</x:v>
      </x:c>
      <x:c r="J42" s="143"/>
      <x:c r="K42" s="143"/>
      <x:c r="L42" s="143"/>
      <x:c r="M42" s="143" t="str">
        <x:v>基础与升级审阅定稿</x:v>
      </x:c>
      <x:c r="N42" s="143" t="str">
        <x:v>2026-08水系逐批审阅。；2026-08-15升级审阅完成。</x:v>
      </x:c>
      <x:c r="O42" s="143" t="str">
        <x:v>火·水</x:v>
      </x:c>
      <x:c r="P42" s="143" t="str">
        <x:v>0</x:v>
      </x:c>
      <x:c r="Q42" s="143" t="str">
        <x:v>焚毁任意张手牌。本回合打出的下一张X费牌结算时，X增加N（N=本次焚毁的牌数）。</x:v>
      </x:c>
    </x:row>
    <x:row r="43" ht="72" customHeight="1">
      <x:c r="A43" s="143" t="str">
        <x:v>SG013</x:v>
      </x:c>
      <x:c r="B43" s="143" t="str">
        <x:v>蒸汽回收</x:v>
      </x:c>
      <x:c r="C43" s="143" t="str">
        <x:v>双系胶水</x:v>
      </x:c>
      <x:c r="D43" s="143" t="str">
        <x:v>焚毁／灼伤 ↔ X费／泡影／冲刷</x:v>
      </x:c>
      <x:c r="E43" s="143" t="str">
        <x:v>蓝</x:v>
      </x:c>
      <x:c r="F43" s="143" t="str">
        <x:v>1</x:v>
      </x:c>
      <x:c r="G43" s="143" t="str">
        <x:v>技能</x:v>
      </x:c>
      <x:c r="H43" s="143" t="str">
        <x:v>焚毁1张手牌。获得等同其当前能量费用的能量。</x:v>
      </x:c>
      <x:c r="I43" s="143" t="str">
        <x:v>火系焚毁把高费牌转成能量，直接供给水系X费终端。</x:v>
      </x:c>
      <x:c r="J43" s="143"/>
      <x:c r="K43" s="143"/>
      <x:c r="L43" s="143"/>
      <x:c r="M43" s="143" t="str">
        <x:v>基础与升级审阅定稿</x:v>
      </x:c>
      <x:c r="N43" s="143" t="str">
        <x:v>2026-08水系逐批审阅。；2026-08-15升级审阅完成。</x:v>
      </x:c>
      <x:c r="O43" s="143" t="str">
        <x:v>火·水</x:v>
      </x:c>
      <x:c r="P43" s="143" t="n">
        <x:v>0</x:v>
      </x:c>
      <x:c r="Q43" s="143" t="str">
        <x:v>焚毁1张手牌。获得等同于其当前能量费用的能量。</x:v>
      </x:c>
    </x:row>
    <x:row r="44" ht="72" customHeight="1">
      <x:c r="A44" s="143" t="str">
        <x:v>SG014</x:v>
      </x:c>
      <x:c r="B44" s="143" t="str">
        <x:v>涡轮焚流</x:v>
      </x:c>
      <x:c r="C44" s="143" t="str">
        <x:v>双系胶水</x:v>
      </x:c>
      <x:c r="D44" s="143" t="str">
        <x:v>焚毁／灼伤 ↔ X费／泡影／冲刷</x:v>
      </x:c>
      <x:c r="E44" s="143" t="str">
        <x:v>金</x:v>
      </x:c>
      <x:c r="F44" s="143" t="str">
        <x:v>X</x:v>
      </x:c>
      <x:c r="G44" s="143" t="str">
        <x:v>攻击</x:v>
      </x:c>
      <x:c r="H44" s="143" t="str">
        <x:v>消耗所有能量。每消耗1点能量，焚毁抽牌堆顶2张牌。每焚毁1张牌，造成5点伤害。消耗。</x:v>
      </x:c>
      <x:c r="I44" s="143" t="str">
        <x:v>X决定多段规模，也决定火系牌库压缩规模。</x:v>
      </x:c>
      <x:c r="J44" s="143"/>
      <x:c r="K44" s="143"/>
      <x:c r="L44" s="143"/>
      <x:c r="M44" s="143" t="str">
        <x:v>基础与升级审阅定稿</x:v>
      </x:c>
      <x:c r="N44" s="143" t="str">
        <x:v>2026-08水系逐批审阅。；2026-08-15升级审阅完成。</x:v>
      </x:c>
      <x:c r="O44" s="143" t="str">
        <x:v>火·水</x:v>
      </x:c>
      <x:c r="P44" s="143" t="str">
        <x:v>X</x:v>
      </x:c>
      <x:c r="Q44" s="143" t="str">
        <x:v>消耗所有能量。每消耗1点能量，焚毁抽牌堆顶2张牌。每焚毁1张牌，造成7点伤害。消耗。</x:v>
      </x:c>
    </x:row>
    <x:row r="45" ht="72" customHeight="1">
      <x:c r="A45" s="143" t="str">
        <x:v>SG015</x:v>
      </x:c>
      <x:c r="B45" s="143" t="str">
        <x:v>逆流排烟</x:v>
      </x:c>
      <x:c r="C45" s="143" t="str">
        <x:v>双系胶水</x:v>
      </x:c>
      <x:c r="D45" s="143" t="str">
        <x:v>焚毁／灼伤 ↔ X费／泡影／冲刷</x:v>
      </x:c>
      <x:c r="E45" s="143" t="str">
        <x:v>金</x:v>
      </x:c>
      <x:c r="F45" s="143" t="str">
        <x:v>1</x:v>
      </x:c>
      <x:c r="G45" s="143" t="str">
        <x:v>能力</x:v>
      </x:c>
      <x:c r="H45" s="143" t="str">
        <x:v>本场战斗中，每回合有牌被消耗时，抽1张牌；若抽到的牌与上一张打出的牌类型不同，再抽1张牌。消耗。</x:v>
      </x:c>
      <x:c r="I45" s="143" t="str">
        <x:v>焚毁启动过牌，攻击／技能交替进一步支持牌序条件。</x:v>
      </x:c>
      <x:c r="J45" s="143"/>
      <x:c r="K45" s="143"/>
      <x:c r="L45" s="143"/>
      <x:c r="M45" s="143" t="str">
        <x:v>基础与升级审阅定稿</x:v>
      </x:c>
      <x:c r="N45" s="143" t="str">
        <x:v>2026-08水系逐批审阅。；2026-08-15升级审阅完成。</x:v>
      </x:c>
      <x:c r="O45" s="143" t="str">
        <x:v>火·水</x:v>
      </x:c>
      <x:c r="P45" s="143" t="n">
        <x:v>0</x:v>
      </x:c>
      <x:c r="Q45" s="143" t="str">
        <x:v>本场战斗中，每回合有牌被消耗时，抽1张牌；若抽到的牌与上一张打出的牌类型不同，再抽1张牌。消耗。</x:v>
      </x:c>
    </x:row>
    <x:row r="46" ht="72" customHeight="1">
      <x:c r="A46" s="143" t="str">
        <x:v>SG016</x:v>
      </x:c>
      <x:c r="B46" s="143" t="str">
        <x:v>燃尽泡影</x:v>
      </x:c>
      <x:c r="C46" s="143" t="str">
        <x:v>双系胶水</x:v>
      </x:c>
      <x:c r="D46" s="143" t="str">
        <x:v>焚毁／灼伤 ↔ X费／泡影／冲刷</x:v>
      </x:c>
      <x:c r="E46" s="143" t="str">
        <x:v>蓝</x:v>
      </x:c>
      <x:c r="F46" s="143" t="str">
        <x:v>1</x:v>
      </x:c>
      <x:c r="G46" s="143" t="str">
        <x:v>技能</x:v>
      </x:c>
      <x:c r="H46" s="143" t="str">
        <x:v>焚毁1。若焚毁的是燃料牌，获得1层泡影。消耗。</x:v>
      </x:c>
      <x:c r="I46" s="143" t="str">
        <x:v>火系牺牲高价值燃料触发效果，再换取水系一次伤害免疫。</x:v>
      </x:c>
      <x:c r="J46" s="143"/>
      <x:c r="K46" s="143"/>
      <x:c r="L46" s="143"/>
      <x:c r="M46" s="143" t="str">
        <x:v>基础与升级审阅定稿</x:v>
      </x:c>
      <x:c r="N46" s="143" t="str">
        <x:v>2026-08水系逐批审阅。；2026-08-15升级审阅完成。</x:v>
      </x:c>
      <x:c r="O46" s="143" t="str">
        <x:v>火·水</x:v>
      </x:c>
      <x:c r="P46" s="143" t="str">
        <x:v>1</x:v>
      </x:c>
      <x:c r="Q46" s="143" t="str">
        <x:v>焚毁1。若焚毁的是燃料牌，获得2层泡影。消耗。</x:v>
      </x:c>
    </x:row>
    <x:row r="47" ht="72" customHeight="1">
      <x:c r="A47" s="143" t="str">
        <x:v>SG017</x:v>
      </x:c>
      <x:c r="B47" s="143" t="str">
        <x:v>清炉</x:v>
      </x:c>
      <x:c r="C47" s="143" t="str">
        <x:v>双系胶水</x:v>
      </x:c>
      <x:c r="D47" s="143" t="str">
        <x:v>焚毁／灼伤 ↔ X费／泡影／冲刷</x:v>
      </x:c>
      <x:c r="E47" s="143" t="str">
        <x:v>蓝</x:v>
      </x:c>
      <x:c r="F47" s="143" t="str">
        <x:v>1</x:v>
      </x:c>
      <x:c r="G47" s="143" t="str">
        <x:v>技能</x:v>
      </x:c>
      <x:c r="H47" s="143" t="str">
        <x:v>焚毁1张手牌。移除自身1个可移除的负面状态；若焚毁的是燃料牌，抽2张牌。消耗。</x:v>
      </x:c>
      <x:c r="I47" s="143" t="str">
        <x:v>冲刷提供净化，燃料让焚毁不纯亏资源。</x:v>
      </x:c>
      <x:c r="J47" s="143"/>
      <x:c r="K47" s="143"/>
      <x:c r="L47" s="143"/>
      <x:c r="M47" s="143" t="str">
        <x:v>基础与升级审阅定稿</x:v>
      </x:c>
      <x:c r="N47" s="143" t="str">
        <x:v>2026-08水系逐批审阅。；2026-08-15升级审阅完成。</x:v>
      </x:c>
      <x:c r="O47" s="143" t="str">
        <x:v>火·水</x:v>
      </x:c>
      <x:c r="P47" s="143" t="str">
        <x:v>1</x:v>
      </x:c>
      <x:c r="Q47" s="143" t="str">
        <x:v>焚毁1张手牌。移除自身1个可移除的负面状态；若焚毁的是燃料牌，抽3张牌。消耗。</x:v>
      </x:c>
    </x:row>
    <x:row r="48" ht="72" customHeight="1">
      <x:c r="A48" s="143" t="str">
        <x:v>SG018</x:v>
      </x:c>
      <x:c r="B48" s="143" t="str">
        <x:v>灼潮节拍</x:v>
      </x:c>
      <x:c r="C48" s="143" t="str">
        <x:v>双系胶水</x:v>
      </x:c>
      <x:c r="D48" s="143" t="str">
        <x:v>焚毁／灼伤 ↔ X费／泡影／冲刷</x:v>
      </x:c>
      <x:c r="E48" s="143" t="str">
        <x:v>蓝</x:v>
      </x:c>
      <x:c r="F48" s="143" t="str">
        <x:v>1</x:v>
      </x:c>
      <x:c r="G48" s="143" t="str">
        <x:v>攻击</x:v>
      </x:c>
      <x:c r="H48" s="143" t="str">
        <x:v>造成7点伤害。若本回合上一张打出的牌为技能牌，施加2层灼伤并使灼伤等级+I。</x:v>
      </x:c>
      <x:c r="I48" s="143" t="str">
        <x:v>水系牌序条件条件转化为火系铺灼伤。</x:v>
      </x:c>
      <x:c r="J48" s="143"/>
      <x:c r="K48" s="143"/>
      <x:c r="L48" s="143"/>
      <x:c r="M48" s="143" t="str">
        <x:v>基础与升级审阅定稿</x:v>
      </x:c>
      <x:c r="N48" s="143" t="str">
        <x:v>2026-08水系逐批审阅。；2026-08-15升级审阅完成。</x:v>
      </x:c>
      <x:c r="O48" s="143" t="str">
        <x:v>火·水</x:v>
      </x:c>
      <x:c r="P48" s="143" t="str">
        <x:v>1</x:v>
      </x:c>
      <x:c r="Q48" s="143" t="str">
        <x:v>造成10点伤害。若本回合上一张打出的牌为技能牌，施加2层灼伤并使灼伤等级+Ⅰ。</x:v>
      </x:c>
    </x:row>
    <x:row r="49" ht="72" customHeight="1">
      <x:c r="A49" s="143" t="str">
        <x:v>BX011</x:v>
      </x:c>
      <x:c r="B49" s="143" t="str">
        <x:v>空潮</x:v>
      </x:c>
      <x:c r="C49" s="143" t="str">
        <x:v>双系胶水</x:v>
      </x:c>
      <x:c r="D49" s="143" t="str">
        <x:v>主动弃牌／虚无 ↔ 泡影</x:v>
      </x:c>
      <x:c r="E49" s="143" t="str">
        <x:v>蓝</x:v>
      </x:c>
      <x:c r="F49" s="143" t="str">
        <x:v>0</x:v>
      </x:c>
      <x:c r="G49" s="143" t="str">
        <x:v>技能</x:v>
      </x:c>
      <x:c r="H49" s="143" t="str">
        <x:v>主动弃置1张手牌。虚无：获得1层泡影。消耗。</x:v>
      </x:c>
      <x:c r="I49" s="143" t="str">
        <x:v>暗系主动清空手牌，转化为水系防御窗口；泡影让虚无回合不必只追求进攻。</x:v>
      </x:c>
      <x:c r="J49" s="143"/>
      <x:c r="K49" s="143"/>
      <x:c r="L49" s="143"/>
      <x:c r="M49" s="143" t="str">
        <x:v>基础与升级审阅定稿</x:v>
      </x:c>
      <x:c r="N49" s="143" t="str">
        <x:v>2026-08水系逐批审阅。；2026-08-15升级审阅完成。</x:v>
      </x:c>
      <x:c r="O49" s="143" t="str">
        <x:v>暗·水</x:v>
      </x:c>
      <x:c r="P49" s="143" t="str">
        <x:v>0</x:v>
      </x:c>
      <x:c r="Q49" s="143" t="str">
        <x:v>主动弃置1张手牌。虚无：获得2层泡影。消耗。</x:v>
      </x:c>
    </x:row>
    <x:row r="50" ht="72" customHeight="1">
      <x:c r="A50" s="143" t="str">
        <x:v>BX012</x:v>
      </x:c>
      <x:c r="B50" s="143" t="str">
        <x:v>沉底回流</x:v>
      </x:c>
      <x:c r="C50" s="143" t="str">
        <x:v>双系胶水</x:v>
      </x:c>
      <x:c r="D50" s="143" t="str">
        <x:v>从抽牌堆弃置 ↔ 牌堆减费</x:v>
      </x:c>
      <x:c r="E50" s="143" t="str">
        <x:v>蓝</x:v>
      </x:c>
      <x:c r="F50" s="143" t="str">
        <x:v>1</x:v>
      </x:c>
      <x:c r="G50" s="143" t="str">
        <x:v>技能</x:v>
      </x:c>
      <x:c r="H50" s="143" t="str">
        <x:v>将抽牌堆顶3张牌置入弃牌堆。从这些牌中选择1张，其本场战斗中费用-1（最低为0）。</x:v>
      </x:c>
      <x:c r="I50" s="143" t="str">
        <x:v>暗系快速建立墓场，水系提前投资未来抽回或取回的牌；取回组件能立即兑现减费。</x:v>
      </x:c>
      <x:c r="J50" s="143"/>
      <x:c r="K50" s="143"/>
      <x:c r="L50" s="143"/>
      <x:c r="M50" s="143" t="str">
        <x:v>基础与升级审阅定稿</x:v>
      </x:c>
      <x:c r="N50" s="143" t="str">
        <x:v>2026-08水系逐批审阅。；2026-08-15升级审阅完成。</x:v>
      </x:c>
      <x:c r="O50" s="143" t="str">
        <x:v>暗·水</x:v>
      </x:c>
      <x:c r="P50" s="143" t="str">
        <x:v>1</x:v>
      </x:c>
      <x:c r="Q50" s="143" t="str">
        <x:v>将抽牌堆顶4张牌置入弃牌堆。从这些牌中选择2张，使其本场战斗中费用-1（最低为0）。</x:v>
      </x:c>
    </x:row>
    <x:row r="51" ht="72" customHeight="1">
      <x:c r="A51" s="143" t="str">
        <x:v>SG031</x:v>
      </x:c>
      <x:c r="B51" s="143" t="str">
        <x:v>零潮回收</x:v>
      </x:c>
      <x:c r="C51" s="143" t="str">
        <x:v>双系胶水</x:v>
      </x:c>
      <x:c r="D51" s="143" t="str">
        <x:v>自残／弃牌／墓场／虚无 ↔ 减费／X费／泡影／虚弱</x:v>
      </x:c>
      <x:c r="E51" s="143" t="str">
        <x:v>金</x:v>
      </x:c>
      <x:c r="F51" s="143" t="n">
        <x:v>1</x:v>
      </x:c>
      <x:c r="G51" s="143" t="str">
        <x:v>攻击</x:v>
      </x:c>
      <x:c r="H51" s="143" t="str">
        <x:v>造成10点伤害。从弃牌堆将所有当前费用为0的牌加入手牌。</x:v>
      </x:c>
      <x:c r="I51" s="143" t="str">
        <x:v>水系减费决定暗系墓场能回收哪些牌。</x:v>
      </x:c>
      <x:c r="J51" s="143"/>
      <x:c r="K51" s="143"/>
      <x:c r="L51" s="143"/>
      <x:c r="M51" s="143" t="str">
        <x:v>基础与升级审阅定稿</x:v>
      </x:c>
      <x:c r="N51" s="143" t="str">
        <x:v>2026-08水系逐批审阅。；2026-08-15升级审阅完成。</x:v>
      </x:c>
      <x:c r="O51" s="143" t="str">
        <x:v>暗·水</x:v>
      </x:c>
      <x:c r="P51" s="143" t="n">
        <x:v>1</x:v>
      </x:c>
      <x:c r="Q51" s="143" t="str">
        <x:v>造成15点伤害。从弃牌堆将所有当前费用为0的牌加入手牌。</x:v>
      </x:c>
    </x:row>
    <x:row r="52" ht="72" customHeight="1">
      <x:c r="A52" s="143" t="str">
        <x:v>SG033</x:v>
      </x:c>
      <x:c r="B52" s="143" t="str">
        <x:v>弃浪压迫</x:v>
      </x:c>
      <x:c r="C52" s="143" t="str">
        <x:v>双系胶水</x:v>
      </x:c>
      <x:c r="D52" s="143" t="str">
        <x:v>自残／弃牌／墓场／虚无 ↔ 减费／X费／泡影／虚弱</x:v>
      </x:c>
      <x:c r="E52" s="143" t="str">
        <x:v>金</x:v>
      </x:c>
      <x:c r="F52" s="143" t="str">
        <x:v>1</x:v>
      </x:c>
      <x:c r="G52" s="143" t="str">
        <x:v>技能</x:v>
      </x:c>
      <x:c r="H52" s="143" t="str">
        <x:v>主动弃置任意张手牌。对目标施加X回合虚弱（X=主动弃置的牌数）。消耗。</x:v>
      </x:c>
      <x:c r="I52" s="143" t="str">
        <x:v>暗系弃牌数量决定水系虚弱持续时间。</x:v>
      </x:c>
      <x:c r="J52" s="143"/>
      <x:c r="K52" s="143"/>
      <x:c r="L52" s="143"/>
      <x:c r="M52" s="143" t="str">
        <x:v>基础与升级审阅定稿</x:v>
      </x:c>
      <x:c r="N52" s="143" t="str">
        <x:v>2026-08水系逐批审阅。；2026-08-15升级审阅完成。</x:v>
      </x:c>
      <x:c r="O52" s="143" t="str">
        <x:v>暗·水</x:v>
      </x:c>
      <x:c r="P52" s="143" t="str">
        <x:v>1</x:v>
      </x:c>
      <x:c r="Q52" s="143" t="str">
        <x:v>主动弃置任意张手牌。对目标施加X回合虚弱（X=主动弃置的牌数）。</x:v>
      </x:c>
    </x:row>
    <x:row r="53" ht="72" customHeight="1">
      <x:c r="A53" s="143" t="str">
        <x:v>SG034</x:v>
      </x:c>
      <x:c r="B53" s="143" t="str">
        <x:v>观潮葬</x:v>
      </x:c>
      <x:c r="C53" s="143" t="str">
        <x:v>双系胶水</x:v>
      </x:c>
      <x:c r="D53" s="143" t="str">
        <x:v>自残／弃牌／墓场／虚无 ↔ 减费／X费／泡影／虚弱</x:v>
      </x:c>
      <x:c r="E53" s="143" t="str">
        <x:v>蓝</x:v>
      </x:c>
      <x:c r="F53" s="143" t="str">
        <x:v>1</x:v>
      </x:c>
      <x:c r="G53" s="143" t="str">
        <x:v>技能</x:v>
      </x:c>
      <x:c r="H53" s="143" t="str">
        <x:v>查看抽牌堆顶4张牌。选择其中2张置入弃牌堆，将另外2张加入手牌。</x:v>
      </x:c>
      <x:c r="I53" s="143" t="str">
        <x:v>水系牌序控制精准命中暗系遗言或污染牌。</x:v>
      </x:c>
      <x:c r="J53" s="143"/>
      <x:c r="K53" s="143"/>
      <x:c r="L53" s="143"/>
      <x:c r="M53" s="143" t="str">
        <x:v>基础与升级审阅定稿</x:v>
      </x:c>
      <x:c r="N53" s="143" t="str">
        <x:v>2026-08水系逐批审阅。；2026-08-15升级审阅完成。</x:v>
      </x:c>
      <x:c r="O53" s="143" t="str">
        <x:v>暗·水</x:v>
      </x:c>
      <x:c r="P53" s="143" t="str">
        <x:v>1</x:v>
      </x:c>
      <x:c r="Q53" s="143" t="str">
        <x:v>查看抽牌堆顶5张牌。选择其中2张置入弃牌堆，将另外3张加入手牌。</x:v>
      </x:c>
    </x:row>
    <x:row r="54" ht="72" customHeight="1">
      <x:c r="A54" s="143" t="str">
        <x:v>SG036</x:v>
      </x:c>
      <x:c r="B54" s="143" t="str">
        <x:v>回顶暗流</x:v>
      </x:c>
      <x:c r="C54" s="143" t="str">
        <x:v>双系胶水</x:v>
      </x:c>
      <x:c r="D54" s="143" t="str">
        <x:v>自残／弃牌／墓场／虚无 ↔ 减费／X费／泡影／虚弱</x:v>
      </x:c>
      <x:c r="E54" s="143" t="str">
        <x:v>蓝</x:v>
      </x:c>
      <x:c r="F54" s="143" t="str">
        <x:v>1</x:v>
      </x:c>
      <x:c r="G54" s="143" t="str">
        <x:v>攻击</x:v>
      </x:c>
      <x:c r="H54" s="143" t="str">
        <x:v>造成9点伤害。从弃牌堆选择1张牌置于抽牌堆顶；其费用在下次打出前变为0。</x:v>
      </x:c>
      <x:c r="I54" s="143" t="str">
        <x:v>暗系墓场提供目标，水系预先完成减费。</x:v>
      </x:c>
      <x:c r="J54" s="143"/>
      <x:c r="K54" s="143"/>
      <x:c r="L54" s="143"/>
      <x:c r="M54" s="143" t="str">
        <x:v>基础与升级审阅定稿</x:v>
      </x:c>
      <x:c r="N54" s="143" t="str">
        <x:v>2026-08水系逐批审阅。；2026-08-15升级审阅完成。</x:v>
      </x:c>
      <x:c r="O54" s="143" t="str">
        <x:v>暗·水</x:v>
      </x:c>
      <x:c r="P54" s="143" t="str">
        <x:v>1</x:v>
      </x:c>
      <x:c r="Q54" s="143" t="str">
        <x:v>造成12点伤害。从弃牌堆选择1张牌置于抽牌堆顶；其费用在下次打出前变为0。</x:v>
      </x:c>
    </x:row>
    <x:row r="55" ht="72" customHeight="1">
      <x:c r="A55" s="143" t="str">
        <x:v>BX015</x:v>
      </x:c>
      <x:c r="B55" s="143" t="str">
        <x:v>春潮</x:v>
      </x:c>
      <x:c r="C55" s="143" t="str">
        <x:v>双系胶水</x:v>
      </x:c>
      <x:c r="D55" s="143" t="str">
        <x:v>X费 ↔ 生长多次打出</x:v>
      </x:c>
      <x:c r="E55" s="143" t="str">
        <x:v>金</x:v>
      </x:c>
      <x:c r="F55" s="143" t="str">
        <x:v>X</x:v>
      </x:c>
      <x:c r="G55" s="143" t="str">
        <x:v>技能</x:v>
      </x:c>
      <x:c r="H55" s="143" t="str">
        <x:v>消耗所有能量。选择1张手牌中的生长牌，将其免费打出X次（X=消耗的能量）。消耗。</x:v>
      </x:c>
      <x:c r="I55" s="143" t="str">
        <x:v>水系把整回合能量转为同一张草系核心牌的连续结算；每次打出都会完成效果并触发生长。</x:v>
      </x:c>
      <x:c r="J55" s="143"/>
      <x:c r="K55" s="143"/>
      <x:c r="L55" s="143"/>
      <x:c r="M55" s="143" t="str">
        <x:v>基础与升级审阅定稿</x:v>
      </x:c>
      <x:c r="N55" s="143" t="str">
        <x:v>2026-08水系逐批审阅。；2026-08-15升级审阅完成。</x:v>
      </x:c>
      <x:c r="O55" s="143" t="str">
        <x:v>草·水</x:v>
      </x:c>
      <x:c r="P55" s="143" t="str">
        <x:v>X</x:v>
      </x:c>
      <x:c r="Q55" s="143" t="str">
        <x:v>消耗所有能量。选择1张手牌中的生长牌，将其免费打出X+1次（X=消耗的能量）。消耗。</x:v>
      </x:c>
    </x:row>
    <x:row r="56" ht="72" customHeight="1">
      <x:c r="A56" s="143" t="str">
        <x:v>BX016</x:v>
      </x:c>
      <x:c r="B56" s="143" t="str">
        <x:v>润甲</x:v>
      </x:c>
      <x:c r="C56" s="143" t="str">
        <x:v>双系胶水</x:v>
      </x:c>
      <x:c r="D56" s="143" t="str">
        <x:v>树皮 ↔ 牌堆减费</x:v>
      </x:c>
      <x:c r="E56" s="143" t="str">
        <x:v>蓝</x:v>
      </x:c>
      <x:c r="F56" s="143" t="n">
        <x:v>1</x:v>
      </x:c>
      <x:c r="G56" s="143" t="str">
        <x:v>能力</x:v>
      </x:c>
      <x:c r="H56" s="143" t="str">
        <x:v>本场战斗中，每当树皮在回合结束时使你获得护盾，随机使抽牌堆中1张牌本场战斗中费用-1（最低为0）。消耗。</x:v>
      </x:c>
      <x:c r="I56" s="143" t="str">
        <x:v>草系树皮负责稳定触发，水系减费为下一轮提速；慢防御由此转化为后续节奏。</x:v>
      </x:c>
      <x:c r="J56" s="143"/>
      <x:c r="K56" s="143"/>
      <x:c r="L56" s="143"/>
      <x:c r="M56" s="143" t="str">
        <x:v>基础与升级审阅定稿</x:v>
      </x:c>
      <x:c r="N56" s="143" t="str">
        <x:v>2026-08水系逐批审阅。；2026-08-15升级审阅完成。</x:v>
      </x:c>
      <x:c r="O56" s="143" t="str">
        <x:v>草·水</x:v>
      </x:c>
      <x:c r="P56" s="143" t="n">
        <x:v>1</x:v>
      </x:c>
      <x:c r="Q56" s="143" t="str">
        <x:v>本场战斗中，每当树皮在回合结束时使你获得护盾，随机使抽牌堆中2张牌本场战斗中费用-1（最低为0）。消耗。</x:v>
      </x:c>
    </x:row>
    <x:row r="57" ht="72" customHeight="1">
      <x:c r="A57" s="143" t="str">
        <x:v>SG043</x:v>
      </x:c>
      <x:c r="B57" s="143" t="str">
        <x:v>缠枝掌</x:v>
      </x:c>
      <x:c r="C57" s="143" t="str">
        <x:v>双系胶水</x:v>
      </x:c>
      <x:c r="D57" s="143" t="str">
        <x:v>树皮／荆棘／生长／再生 ↔ 多段／保留／冲刷／泡影／X费</x:v>
      </x:c>
      <x:c r="E57" s="143" t="str">
        <x:v>金</x:v>
      </x:c>
      <x:c r="F57" s="143" t="str">
        <x:v>1</x:v>
      </x:c>
      <x:c r="G57" s="143" t="str">
        <x:v>攻击</x:v>
      </x:c>
      <x:c r="H57" s="143" t="str">
        <x:v>造成5点伤害。本场战斗中，每当该目标受到伤害牌的一次命中时，获得1层树皮。消耗。</x:v>
      </x:c>
      <x:c r="I57" s="143" t="str">
        <x:v>水系多段攻击把草系标记转成持续防御。</x:v>
      </x:c>
      <x:c r="J57" s="143"/>
      <x:c r="K57" s="143"/>
      <x:c r="L57" s="143"/>
      <x:c r="M57" s="143" t="str">
        <x:v>基础与升级审阅定稿</x:v>
      </x:c>
      <x:c r="N57" s="143" t="str">
        <x:v>2026-08水系逐批审阅。；2026-08-15升级审阅完成。</x:v>
      </x:c>
      <x:c r="O57" s="143" t="str">
        <x:v>草·水</x:v>
      </x:c>
      <x:c r="P57" s="143" t="str">
        <x:v>1</x:v>
      </x:c>
      <x:c r="Q57" s="143" t="str">
        <x:v>造成8点伤害。本场战斗中，每当该目标受到伤害牌的一次命中时，获得1层树皮。消耗。</x:v>
      </x:c>
    </x:row>
    <x:row r="58" ht="72" customHeight="1">
      <x:c r="A58" s="143" t="str">
        <x:v>SG044</x:v>
      </x:c>
      <x:c r="B58" s="143" t="str">
        <x:v>风蚀树皮</x:v>
      </x:c>
      <x:c r="C58" s="143" t="str">
        <x:v>双系胶水</x:v>
      </x:c>
      <x:c r="D58" s="143" t="str">
        <x:v>树皮／荆棘／生长／再生 ↔ 多段／保留／冲刷／泡影／X费</x:v>
      </x:c>
      <x:c r="E58" s="143" t="str">
        <x:v>金</x:v>
      </x:c>
      <x:c r="F58" s="143" t="str">
        <x:v>1</x:v>
      </x:c>
      <x:c r="G58" s="143" t="str">
        <x:v>能力</x:v>
      </x:c>
      <x:c r="H58" s="143" t="str">
        <x:v>本场战斗中，每当树皮在回合结束时使你获得护盾，对敌方全体施加1回合虚弱。消耗。</x:v>
      </x:c>
      <x:c r="I58" s="143" t="str">
        <x:v>草系慢防御稳定触发水系群体虚弱。</x:v>
      </x:c>
      <x:c r="J58" s="143"/>
      <x:c r="K58" s="143"/>
      <x:c r="L58" s="143"/>
      <x:c r="M58" s="143" t="str">
        <x:v>基础与升级审阅定稿</x:v>
      </x:c>
      <x:c r="N58" s="143" t="str">
        <x:v>2026-08水系逐批审阅。；2026-08-15升级审阅完成。</x:v>
      </x:c>
      <x:c r="O58" s="143" t="str">
        <x:v>草·水</x:v>
      </x:c>
      <x:c r="P58" s="143" t="n">
        <x:v>0</x:v>
      </x:c>
      <x:c r="Q58" s="143" t="str">
        <x:v>本场战斗中，每当树皮在回合结束时使你获得护盾，对敌方全体施加1回合虚弱。消耗。</x:v>
      </x:c>
    </x:row>
    <x:row r="59" ht="72" customHeight="1">
      <x:c r="A59" s="143" t="str">
        <x:v>SG046</x:v>
      </x:c>
      <x:c r="B59" s="143" t="str">
        <x:v>蓄芽</x:v>
      </x:c>
      <x:c r="C59" s="143" t="str">
        <x:v>双系胶水</x:v>
      </x:c>
      <x:c r="D59" s="143" t="str">
        <x:v>树皮／荆棘／生长／再生 ↔ 多段／保留／冲刷／泡影／X费</x:v>
      </x:c>
      <x:c r="E59" s="143" t="str">
        <x:v>蓝</x:v>
      </x:c>
      <x:c r="F59" s="143" t="str">
        <x:v>1</x:v>
      </x:c>
      <x:c r="G59" s="143" t="str">
        <x:v>攻击</x:v>
      </x:c>
      <x:c r="H59" s="143" t="str">
        <x:v>保留。造成13点伤害。每当这张牌因保留留在手牌中，其伤害+4。</x:v>
      </x:c>
      <x:c r="I59" s="143" t="str">
        <x:v>水系保留时间直接培养草系成长型实体牌。</x:v>
      </x:c>
      <x:c r="J59" s="143"/>
      <x:c r="K59" s="143"/>
      <x:c r="L59" s="143"/>
      <x:c r="M59" s="143" t="str">
        <x:v>基础与升级审阅定稿</x:v>
      </x:c>
      <x:c r="N59" s="143" t="str">
        <x:v>2026-08水系逐批审阅。；2026-08-15升级审阅完成。</x:v>
      </x:c>
      <x:c r="O59" s="143" t="str">
        <x:v>草·水</x:v>
      </x:c>
      <x:c r="P59" s="143" t="str">
        <x:v>1</x:v>
      </x:c>
      <x:c r="Q59" s="143" t="str">
        <x:v>保留。造成13点伤害。每当这张牌因保留留在手牌中，其伤害+6。</x:v>
      </x:c>
    </x:row>
    <x:row r="60" ht="72" customHeight="1">
      <x:c r="A60" s="143" t="str">
        <x:v>SG047</x:v>
      </x:c>
      <x:c r="B60" s="143" t="str">
        <x:v>洪根</x:v>
      </x:c>
      <x:c r="C60" s="143" t="str">
        <x:v>双系胶水</x:v>
      </x:c>
      <x:c r="D60" s="143" t="str">
        <x:v>树皮／荆棘／生长／再生 ↔ 多段／保留／冲刷／泡影／X费</x:v>
      </x:c>
      <x:c r="E60" s="143" t="str">
        <x:v>蓝</x:v>
      </x:c>
      <x:c r="F60" s="143" t="str">
        <x:v>X</x:v>
      </x:c>
      <x:c r="G60" s="143" t="str">
        <x:v>技能</x:v>
      </x:c>
      <x:c r="H60" s="143" t="str">
        <x:v>消耗所有能量。每消耗1点能量，获得2层树皮。</x:v>
      </x:c>
      <x:c r="I60" s="143" t="str">
        <x:v>水系把整回合能量转为草系跨回合防御。</x:v>
      </x:c>
      <x:c r="J60" s="143"/>
      <x:c r="K60" s="143"/>
      <x:c r="L60" s="143"/>
      <x:c r="M60" s="143" t="str">
        <x:v>基础与升级审阅定稿</x:v>
      </x:c>
      <x:c r="N60" s="143" t="str">
        <x:v>2026-08水系逐批审阅。；2026-08-15升级审阅完成。</x:v>
      </x:c>
      <x:c r="O60" s="143" t="str">
        <x:v>草·水</x:v>
      </x:c>
      <x:c r="P60" s="143" t="str">
        <x:v>X</x:v>
      </x:c>
      <x:c r="Q60" s="143" t="str">
        <x:v>消耗所有能量。每消耗1点能量，获得3层树皮。</x:v>
      </x:c>
    </x:row>
    <x:row r="61" ht="72" customHeight="1">
      <x:c r="A61" s="143" t="str">
        <x:v>SG048</x:v>
      </x:c>
      <x:c r="B61" s="143" t="str">
        <x:v>洗露</x:v>
      </x:c>
      <x:c r="C61" s="143" t="str">
        <x:v>双系胶水</x:v>
      </x:c>
      <x:c r="D61" s="143" t="str">
        <x:v>树皮／荆棘／生长／再生 ↔ 多段／保留／冲刷／泡影／X费</x:v>
      </x:c>
      <x:c r="E61" s="143" t="str">
        <x:v>蓝</x:v>
      </x:c>
      <x:c r="F61" s="143" t="str">
        <x:v>1</x:v>
      </x:c>
      <x:c r="G61" s="143" t="str">
        <x:v>技能</x:v>
      </x:c>
      <x:c r="H61" s="143" t="str">
        <x:v>移除自身1个可移除的负面状态。获得2层再生。</x:v>
      </x:c>
      <x:c r="I61" s="143" t="str">
        <x:v>水系冲刷成功后，草系提供延续恢复。</x:v>
      </x:c>
      <x:c r="J61" s="143"/>
      <x:c r="K61" s="143"/>
      <x:c r="L61" s="143"/>
      <x:c r="M61" s="143" t="str">
        <x:v>基础与升级审阅定稿</x:v>
      </x:c>
      <x:c r="N61" s="143" t="str">
        <x:v>2026-08水系逐批审阅。；2026-08-15升级审阅完成。</x:v>
      </x:c>
      <x:c r="O61" s="143" t="str">
        <x:v>草·水</x:v>
      </x:c>
      <x:c r="P61" s="143" t="str">
        <x:v>1</x:v>
      </x:c>
      <x:c r="Q61" s="143" t="str">
        <x:v>移除自身1个可移除的负面状态。获得4层再生。</x:v>
      </x:c>
    </x:row>
    <x:row r="62" ht="72" customHeight="1">
      <x:c r="A62" s="143" t="str">
        <x:v>G006</x:v>
      </x:c>
      <x:c r="B62" s="143" t="str">
        <x:v>致残毒云</x:v>
      </x:c>
      <x:c r="C62" s="143" t="str">
        <x:v>双系胶水</x:v>
      </x:c>
      <x:c r="D62" s="143" t="str">
        <x:v>中毒 ↔ 虚弱</x:v>
      </x:c>
      <x:c r="E62" s="143" t="str">
        <x:v>蓝</x:v>
      </x:c>
      <x:c r="F62" s="143" t="n">
        <x:v>2</x:v>
      </x:c>
      <x:c r="G62" s="143" t="str">
        <x:v>技能</x:v>
      </x:c>
      <x:c r="H62" s="143" t="str">
        <x:v>对敌方全体施加4层中毒、2回合虚弱。消耗。</x:v>
      </x:c>
      <x:c r="I62" s="143" t="str">
        <x:v>草系群体中毒与水系群体虚弱在一张牌上并行铺设。</x:v>
      </x:c>
      <x:c r="J62" s="143"/>
      <x:c r="K62" s="143"/>
      <x:c r="L62" s="143"/>
      <x:c r="M62" s="143" t="str">
        <x:v>基础与升级审阅定稿</x:v>
      </x:c>
      <x:c r="N62" s="143" t="str">
        <x:v>2026-08水系逐批审阅。；2026-08-15升级审阅完成。</x:v>
      </x:c>
      <x:c r="O62" s="143" t="str">
        <x:v>草·水</x:v>
      </x:c>
      <x:c r="P62" s="143" t="n">
        <x:v>2</x:v>
      </x:c>
      <x:c r="Q62" s="143" t="str">
        <x:v>对敌方全体施加6层中毒、3回合虚弱。消耗。</x:v>
      </x:c>
    </x:row>
    <x:row r="63" ht="72" customHeight="1">
      <x:c r="A63" s="143" t="str">
        <x:v>G019</x:v>
      </x:c>
      <x:c r="B63" s="143" t="str">
        <x:v>迎刺</x:v>
      </x:c>
      <x:c r="C63" s="143" t="str">
        <x:v>双系胶水</x:v>
      </x:c>
      <x:c r="D63" s="143" t="str">
        <x:v>敌人意图 ↔ 荆棘</x:v>
      </x:c>
      <x:c r="E63" s="143" t="str">
        <x:v>蓝</x:v>
      </x:c>
      <x:c r="F63" s="143" t="n">
        <x:v>1</x:v>
      </x:c>
      <x:c r="G63" s="143" t="str">
        <x:v>技能</x:v>
      </x:c>
      <x:c r="H63" s="143" t="str">
        <x:v>获得5点护盾。若目标意图为攻击，获得1点荆棘。若该意图为多段攻击，改为获得3点荆棘。消耗。</x:v>
      </x:c>
      <x:c r="I63" s="143" t="str">
        <x:v>水系读取攻击意图，草系按攻击段数准备荆棘。</x:v>
      </x:c>
      <x:c r="J63" s="143"/>
      <x:c r="K63" s="143"/>
      <x:c r="L63" s="143"/>
      <x:c r="M63" s="143" t="str">
        <x:v>基础与升级审阅定稿</x:v>
      </x:c>
      <x:c r="N63" s="143" t="str">
        <x:v>2026-08水系逐批审阅。；2026-08-15升级审阅完成。</x:v>
      </x:c>
      <x:c r="O63" s="143" t="str">
        <x:v>草·水</x:v>
      </x:c>
      <x:c r="P63" s="143" t="n">
        <x:v>1</x:v>
      </x:c>
      <x:c r="Q63" s="143" t="str">
        <x:v>获得8点护盾。若目标意图为攻击，获得1点荆棘。若该意图为多段攻击，改为获得3点荆棘。消耗。</x:v>
      </x:c>
    </x:row>
    <x:row r="64" ht="72" customHeight="1">
      <x:c r="A64" s="143" t="str">
        <x:v>G043</x:v>
      </x:c>
      <x:c r="B64" s="143" t="str">
        <x:v>伏根袭</x:v>
      </x:c>
      <x:c r="C64" s="143" t="str">
        <x:v>双系胶水</x:v>
      </x:c>
      <x:c r="D64" s="143" t="str">
        <x:v>敌人意图 ↔ 树皮</x:v>
      </x:c>
      <x:c r="E64" s="143" t="str">
        <x:v>白</x:v>
      </x:c>
      <x:c r="F64" s="143" t="n">
        <x:v>1</x:v>
      </x:c>
      <x:c r="G64" s="143" t="str">
        <x:v>攻击</x:v>
      </x:c>
      <x:c r="H64" s="143" t="str">
        <x:v>造成7点伤害。若目标具有攻击意图，获得3层树皮。</x:v>
      </x:c>
      <x:c r="I64" s="143" t="str">
        <x:v>水系读取攻击意图，草系提前建立树皮防御。</x:v>
      </x:c>
      <x:c r="J64" s="143"/>
      <x:c r="K64" s="143"/>
      <x:c r="L64" s="143"/>
      <x:c r="M64" s="143" t="str">
        <x:v>基础与升级审阅定稿</x:v>
      </x:c>
      <x:c r="N64" s="143" t="str">
        <x:v>2026-08水系逐批审阅。；2026-08-15升级审阅完成。</x:v>
      </x:c>
      <x:c r="O64" s="143" t="str">
        <x:v>草·水</x:v>
      </x:c>
      <x:c r="P64" s="143" t="n">
        <x:v>1</x:v>
      </x:c>
      <x:c r="Q64" s="143" t="str">
        <x:v>造成10点伤害。若目标具有攻击意图，获得5层树皮。</x:v>
      </x:c>
    </x:row>
    <x:row r="65" ht="72" customHeight="1">
      <x:c r="A65" s="143" t="str">
        <x:v>BX020</x:v>
      </x:c>
      <x:c r="B65" s="143" t="str">
        <x:v>应答圣咏</x:v>
      </x:c>
      <x:c r="C65" s="143" t="str">
        <x:v>双系胶水</x:v>
      </x:c>
      <x:c r="D65" s="143" t="str">
        <x:v>敌人意图 ↔ 神启</x:v>
      </x:c>
      <x:c r="E65" s="143" t="str">
        <x:v>蓝</x:v>
      </x:c>
      <x:c r="F65" s="143" t="str">
        <x:v>1</x:v>
      </x:c>
      <x:c r="G65" s="143" t="str">
        <x:v>技能</x:v>
      </x:c>
      <x:c r="H65" s="143" t="str">
        <x:v>选择1个敌人。获得6点护盾。若其意图包含攻击，获得3层神启。</x:v>
      </x:c>
      <x:c r="I65" s="143" t="str">
        <x:v>水系根据单一敌人意图做判断，光系获得神临进度；未命中条件时仍保留基础防御。</x:v>
      </x:c>
      <x:c r="J65" s="143"/>
      <x:c r="K65" s="143"/>
      <x:c r="L65" s="143"/>
      <x:c r="M65" s="143" t="str">
        <x:v>基础与升级审阅定稿</x:v>
      </x:c>
      <x:c r="N65" s="143" t="str">
        <x:v>2026-08水系逐批审阅。；2026-08-15升级审阅完成。</x:v>
      </x:c>
      <x:c r="O65" s="143" t="str">
        <x:v>水·光</x:v>
      </x:c>
      <x:c r="P65" s="143" t="str">
        <x:v>1</x:v>
      </x:c>
      <x:c r="Q65" s="143" t="str">
        <x:v>选择1个敌人。获得8点护盾。若其意图包含攻击，获得3层神启。</x:v>
      </x:c>
    </x:row>
    <x:row r="66" ht="72" customHeight="1">
      <x:c r="A66" s="143" t="str">
        <x:v>SG055</x:v>
      </x:c>
      <x:c r="B66" s="143" t="str">
        <x:v>聚光连舞</x:v>
      </x:c>
      <x:c r="C66" s="143" t="str">
        <x:v>双系胶水</x:v>
      </x:c>
      <x:c r="D66" s="143" t="str">
        <x:v>意图／泡影／冲刷／X费 ↔ 光羽／神启／生成牌</x:v>
      </x:c>
      <x:c r="E66" s="143" t="str">
        <x:v>蓝</x:v>
      </x:c>
      <x:c r="F66" s="143" t="str">
        <x:v>1</x:v>
      </x:c>
      <x:c r="G66" s="143" t="str">
        <x:v>攻击</x:v>
      </x:c>
      <x:c r="H66" s="143" t="str">
        <x:v>造成6点伤害。若本回合上一张打出的牌为技能牌，将2张【光羽】加入手牌。</x:v>
      </x:c>
      <x:c r="I66" s="143" t="str">
        <x:v>牌序条件命中后生成光羽，继续维持低费牌序。</x:v>
      </x:c>
      <x:c r="J66" s="143"/>
      <x:c r="K66" s="143"/>
      <x:c r="L66" s="143"/>
      <x:c r="M66" s="143" t="str">
        <x:v>基础与升级审阅定稿</x:v>
      </x:c>
      <x:c r="N66" s="143" t="str">
        <x:v>2026-08水系逐批审阅。；2026-08-15升级审阅完成。</x:v>
      </x:c>
      <x:c r="O66" s="143" t="str">
        <x:v>水·光</x:v>
      </x:c>
      <x:c r="P66" s="143" t="str">
        <x:v>1</x:v>
      </x:c>
      <x:c r="Q66" s="143" t="str">
        <x:v>造成6点伤害。若本回合上一张打出的牌为技能牌，将3张【光羽】加入手牌。</x:v>
      </x:c>
    </x:row>
    <x:row r="67" ht="72" customHeight="1">
      <x:c r="A67" s="143" t="str">
        <x:v>SG057</x:v>
      </x:c>
      <x:c r="B67" s="143" t="str">
        <x:v>清祷</x:v>
      </x:c>
      <x:c r="C67" s="143" t="str">
        <x:v>双系胶水</x:v>
      </x:c>
      <x:c r="D67" s="143" t="str">
        <x:v>意图／泡影／冲刷／X费 ↔ 光羽／神启／生成牌</x:v>
      </x:c>
      <x:c r="E67" s="143" t="str">
        <x:v>蓝</x:v>
      </x:c>
      <x:c r="F67" s="143" t="str">
        <x:v>1</x:v>
      </x:c>
      <x:c r="G67" s="143" t="str">
        <x:v>技能</x:v>
      </x:c>
      <x:c r="H67" s="143" t="str">
        <x:v>移除自身1个可移除的负面状态。获得3层神启。</x:v>
      </x:c>
      <x:c r="I67" s="143" t="str">
        <x:v>水系冲刷成功后推进光系神临。</x:v>
      </x:c>
      <x:c r="J67" s="143"/>
      <x:c r="K67" s="143"/>
      <x:c r="L67" s="143"/>
      <x:c r="M67" s="143" t="str">
        <x:v>基础与升级审阅定稿</x:v>
      </x:c>
      <x:c r="N67" s="143" t="str">
        <x:v>2026-08水系逐批审阅。；2026-08-15升级审阅完成。</x:v>
      </x:c>
      <x:c r="O67" s="143" t="str">
        <x:v>水·光</x:v>
      </x:c>
      <x:c r="P67" s="143" t="n">
        <x:v>0</x:v>
      </x:c>
      <x:c r="Q67" s="143" t="str">
        <x:v>移除自身1个可移除的负面状态。获得3层神启。</x:v>
      </x:c>
    </x:row>
    <x:row r="68" ht="72" customHeight="1">
      <x:c r="A68" s="143" t="str">
        <x:v>SG058</x:v>
      </x:c>
      <x:c r="B68" s="143" t="str">
        <x:v>应势启示</x:v>
      </x:c>
      <x:c r="C68" s="143" t="str">
        <x:v>双系胶水</x:v>
      </x:c>
      <x:c r="D68" s="143" t="str">
        <x:v>意图／泡影／冲刷／X费 ↔ 光羽／神启／生成牌</x:v>
      </x:c>
      <x:c r="E68" s="143" t="str">
        <x:v>蓝</x:v>
      </x:c>
      <x:c r="F68" s="143" t="str">
        <x:v>1</x:v>
      </x:c>
      <x:c r="G68" s="143" t="str">
        <x:v>技能</x:v>
      </x:c>
      <x:c r="H68" s="143" t="str">
        <x:v>选择1个敌人。若其意图包含攻击，随机生成1张法术牌加入手牌，其费用在本回合降为0。消耗。</x:v>
      </x:c>
      <x:c r="I68" s="143" t="str">
        <x:v>水系只读取攻击意图，光系按结果生成应对牌。</x:v>
      </x:c>
      <x:c r="J68" s="143"/>
      <x:c r="K68" s="143"/>
      <x:c r="L68" s="143"/>
      <x:c r="M68" s="143" t="str">
        <x:v>基础与升级审阅定稿</x:v>
      </x:c>
      <x:c r="N68" s="143" t="str">
        <x:v>2026-08水系逐批审阅。；2026-08-15升级审阅完成。</x:v>
      </x:c>
      <x:c r="O68" s="143" t="str">
        <x:v>水·光</x:v>
      </x:c>
      <x:c r="P68" s="143" t="str">
        <x:v>1</x:v>
      </x:c>
      <x:c r="Q68" s="143" t="str">
        <x:v>选择1个敌人。若其意图包含攻击，随机生成1张法术牌加入手牌，其费用在本回合降为0。</x:v>
      </x:c>
    </x:row>
    <x:row r="69" ht="72" customHeight="1">
      <x:c r="A69" s="143" t="str">
        <x:v>SG059</x:v>
      </x:c>
      <x:c r="B69" s="143" t="str">
        <x:v>星潮转化</x:v>
      </x:c>
      <x:c r="C69" s="143" t="str">
        <x:v>双系胶水</x:v>
      </x:c>
      <x:c r="D69" s="143" t="str">
        <x:v>意图／泡影／冲刷／X费 ↔ 光羽／神启／生成牌</x:v>
      </x:c>
      <x:c r="E69" s="143" t="str">
        <x:v>金</x:v>
      </x:c>
      <x:c r="F69" s="143" t="str">
        <x:v>X</x:v>
      </x:c>
      <x:c r="G69" s="143" t="str">
        <x:v>技能</x:v>
      </x:c>
      <x:c r="H69" s="143" t="str">
        <x:v>消耗所有能量。随机生成X张水系牌加入手牌。它们的费用在本回合降为0。消耗。</x:v>
      </x:c>
      <x:c r="I69" s="143" t="str">
        <x:v>水系X费决定本系牌的生成规模，光系提供当回合0费展开。</x:v>
      </x:c>
      <x:c r="J69" s="143"/>
      <x:c r="K69" s="143"/>
      <x:c r="L69" s="143"/>
      <x:c r="M69" s="143" t="str">
        <x:v>基础与升级审阅定稿</x:v>
      </x:c>
      <x:c r="N69" s="143" t="str">
        <x:v>2026-08水系逐批审阅。；2026-08-15升级审阅完成。</x:v>
      </x:c>
      <x:c r="O69" s="143" t="str">
        <x:v>水·光</x:v>
      </x:c>
      <x:c r="P69" s="143" t="str">
        <x:v>X</x:v>
      </x:c>
      <x:c r="Q69" s="143" t="str">
        <x:v>消耗所有能量。随机生成X+1张水系牌加入手牌。它们的费用在本回合降为0。消耗。</x:v>
      </x:c>
    </x:row>
    <x:row r="70" ht="72" customHeight="1">
      <x:c r="A70" s="144" t="str">
        <x:v>SG060</x:v>
      </x:c>
      <x:c r="B70" s="144" t="str">
        <x:v>迟明保留</x:v>
      </x:c>
      <x:c r="C70" s="144" t="str">
        <x:v>双系胶水</x:v>
      </x:c>
      <x:c r="D70" s="144" t="str">
        <x:v>意图／泡影／冲刷／X费 ↔ 光羽／神启／生成牌</x:v>
      </x:c>
      <x:c r="E70" s="144" t="str">
        <x:v>蓝</x:v>
      </x:c>
      <x:c r="F70" s="144" t="str">
        <x:v>1</x:v>
      </x:c>
      <x:c r="G70" s="144" t="str">
        <x:v>技能</x:v>
      </x:c>
      <x:c r="H70" s="144" t="str">
        <x:v>获得3层神启。选择1张其他手牌，使其获得保留。消耗。</x:v>
      </x:c>
      <x:c r="I70" s="144" t="str">
        <x:v>光系先推进神启，水系再保留另一张关键手牌。</x:v>
      </x:c>
      <x:c r="J70" s="144"/>
      <x:c r="K70" s="144"/>
      <x:c r="L70" s="144"/>
      <x:c r="M70" s="144" t="str">
        <x:v>基础与升级审阅定稿</x:v>
      </x:c>
      <x:c r="N70" s="144" t="str">
        <x:v>2026-08水系逐批审阅。；2026-08-15升级审阅完成。</x:v>
      </x:c>
      <x:c r="O70" s="144" t="str">
        <x:v>水·光</x:v>
      </x:c>
      <x:c r="P70" s="144" t="str">
        <x:v>1</x:v>
      </x:c>
      <x:c r="Q70" s="144" t="str">
        <x:v>获得3层神启。选择1张其他手牌，使其获得保留。</x:v>
      </x:c>
    </x:row>
    <x:row r="71" ht="62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 ht="62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 ht="62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</x:sheetData>
  <x:mergeCells>
    <x:mergeCell ref="A1:Q1"/>
    <x:mergeCell ref="A2:Q2"/>
    <x:mergeCell ref="A3:Q3"/>
  </x:mergeCells>
  <x:conditionalFormatting sqref="M5:M54">
    <x:cfRule type="containsText" dxfId="0" priority="1" operator="containsText" text="保留"/>
    <x:cfRule type="containsText" dxfId="1" priority="2" operator="containsText" text="修改"/>
    <x:cfRule type="containsText" dxfId="2" priority="3" operator="containsText" text="删除"/>
    <x:cfRule type="containsText" dxfId="3" priority="4" operator="containsText" text="待讨论"/>
  </x:conditionalFormatting>
  <x:dataValidations count="2">
    <x:dataValidation type="whole" operator="between" sqref="J5:L54">
      <x:formula1>1</x:formula1>
      <x:formula2>5</x:formula2>
    </x:dataValidation>
    <x:dataValidation type="list" sqref="M5:M54">
      <x:formula1>"保留,修改,删除,待讨论"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bf00fb7e0748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48" hidden="0" customWidth="1"/>
    <x:col min="5" max="5" width="12" hidden="0" customWidth="1"/>
  </x:cols>
  <x:sheetData>
    <x:row r="1" ht="30" customHeight="1">
      <x:c r="A1" s="124" t="str">
        <x:v>水系V8｜机制与边界</x:v>
      </x:c>
      <x:c r="B1" s="124"/>
      <x:c r="C1" s="124"/>
      <x:c r="D1" s="124"/>
      <x:c r="E1" s="124"/>
    </x:row>
    <x:row r="2" ht="24" customHeight="1">
      <x:c r="A2" s="128" t="str">
        <x:v>程序实现、双系同步与后续设计以本页为准。</x:v>
      </x:c>
      <x:c r="B2" s="128"/>
      <x:c r="C2" s="128"/>
      <x:c r="D2" s="128"/>
      <x:c r="E2" s="128"/>
    </x:row>
    <x:row r="4" ht="34" customHeight="1">
      <x:c r="A4" s="134" t="str">
        <x:v>项目</x:v>
      </x:c>
      <x:c r="B4" s="134" t="str">
        <x:v>现行裁定</x:v>
      </x:c>
      <x:c r="C4" s="134" t="str">
        <x:v>边界</x:v>
      </x:c>
      <x:c r="D4" s="134" t="str">
        <x:v>实现提示</x:v>
      </x:c>
      <x:c r="E4" s="134" t="str">
        <x:v>状态</x:v>
      </x:c>
    </x:row>
    <x:row r="5" ht="56" customHeight="1">
      <x:c r="A5" s="142" t="str">
        <x:v>虚弱</x:v>
      </x:c>
      <x:c r="B5" s="142" t="str">
        <x:v>攻击伤害降低25%，只记录持续回合。</x:v>
      </x:c>
      <x:c r="C5" s="142" t="str">
        <x:v>重复施加只延长持续时间。</x:v>
      </x:c>
      <x:c r="D5" s="142" t="str">
        <x:v>2层虚弱等同卡面写2回合虚弱。</x:v>
      </x:c>
      <x:c r="E5" s="142" t="str">
        <x:v>生效</x:v>
      </x:c>
    </x:row>
    <x:row r="6" ht="56" customHeight="1">
      <x:c r="A6" s="143" t="str">
        <x:v>护盾标尺</x:v>
      </x:c>
      <x:c r="B6" s="143" t="str">
        <x:v>纯护盾1费8，2费14。</x:v>
      </x:c>
      <x:c r="C6" s="143" t="str">
        <x:v>复合牌按附加效果折价。</x:v>
      </x:c>
      <x:c r="D6" s="143" t="str">
        <x:v>用于后续数值审查。</x:v>
      </x:c>
      <x:c r="E6" s="143" t="str">
        <x:v>生效</x:v>
      </x:c>
    </x:row>
    <x:row r="7" ht="56" customHeight="1">
      <x:c r="A7" s="143" t="str">
        <x:v>抽牌标尺</x:v>
      </x:c>
      <x:c r="B7" s="143" t="str">
        <x:v>纯抽牌1费抽3。</x:v>
      </x:c>
      <x:c r="C7" s="143" t="str">
        <x:v>带能量、护盾或其他收益时再折价。</x:v>
      </x:c>
      <x:c r="D7" s="143" t="str">
        <x:v>用于后续数值审查。</x:v>
      </x:c>
      <x:c r="E7" s="143" t="str">
        <x:v>生效</x:v>
      </x:c>
    </x:row>
    <x:row r="8" ht="56" customHeight="1">
      <x:c r="A8" s="143" t="str">
        <x:v>牌序条件</x:v>
      </x:c>
      <x:c r="B8" s="143" t="str">
        <x:v>直接写“若上一张打出的牌为……”。</x:v>
      </x:c>
      <x:c r="C8" s="143" t="str">
        <x:v>不使用“顺流”关键词或资源。</x:v>
      </x:c>
      <x:c r="D8" s="143" t="str">
        <x:v>只读取上一张已打出的卡牌类型。</x:v>
      </x:c>
      <x:c r="E8" s="143" t="str">
        <x:v>生效</x:v>
      </x:c>
    </x:row>
    <x:row r="9" ht="56" customHeight="1">
      <x:c r="A9" s="143" t="str">
        <x:v>泡影</x:v>
      </x:c>
      <x:c r="B9" s="143" t="str">
        <x:v>抵消一次攻击伤害实例。</x:v>
      </x:c>
      <x:c r="C9" s="143" t="str">
        <x:v>多段攻击逐段消耗。</x:v>
      </x:c>
      <x:c r="D9" s="143" t="str">
        <x:v>每层只处理一个伤害实例。</x:v>
      </x:c>
      <x:c r="E9" s="143" t="str">
        <x:v>生效</x:v>
      </x:c>
    </x:row>
    <x:row r="10" ht="56" customHeight="1">
      <x:c r="A10" s="143" t="str">
        <x:v>主动负面</x:v>
      </x:c>
      <x:c r="B10" s="143" t="str">
        <x:v>力量、敏捷降低和自身虚弱、脆弱、灼伤均可被净化。</x:v>
      </x:c>
      <x:c r="C10" s="143" t="str">
        <x:v>状态牌与诅咒牌不属于可移除负面状态。</x:v>
      </x:c>
      <x:c r="D10" s="143" t="str">
        <x:v>先施加代价，再结算收益，除非卡面另写。</x:v>
      </x:c>
      <x:c r="E10" s="143" t="str">
        <x:v>生效</x:v>
      </x:c>
    </x:row>
    <x:row r="11" ht="56" customHeight="1">
      <x:c r="A11" s="143" t="str">
        <x:v>临时力量削减</x:v>
      </x:c>
      <x:c r="B11" s="143" t="str">
        <x:v>W060使敌人暂时失去力量。</x:v>
      </x:c>
      <x:c r="C11" s="143" t="str">
        <x:v>持续至该敌人下个回合结束。</x:v>
      </x:c>
      <x:c r="D11" s="143" t="str">
        <x:v>每段伤害独立触发。</x:v>
      </x:c>
      <x:c r="E11" s="143" t="str">
        <x:v>生效</x:v>
      </x:c>
    </x:row>
    <x:row r="12" ht="56" customHeight="1">
      <x:c r="A12" s="143" t="str">
        <x:v>永久减费</x:v>
      </x:c>
      <x:c r="B12" s="143" t="str">
        <x:v>写“本场战斗中费用-1”。</x:v>
      </x:c>
      <x:c r="C12" s="143" t="str">
        <x:v>修改实体牌，最低为0。</x:v>
      </x:c>
      <x:c r="D12" s="143" t="str">
        <x:v>同一实体牌可重复降低。</x:v>
      </x:c>
      <x:c r="E12" s="143" t="str">
        <x:v>生效</x:v>
      </x:c>
    </x:row>
    <x:row r="13" ht="56" customHeight="1">
      <x:c r="A13" s="143" t="str">
        <x:v>双系同步</x:v>
      </x:c>
      <x:c r="B13" s="143" t="str">
        <x:v>双系牌同时存在于两个属性主池与胶水池。</x:v>
      </x:c>
      <x:c r="C13" s="143" t="str">
        <x:v>同编号、同属性、同卡面效果。</x:v>
      </x:c>
      <x:c r="D13" s="143" t="str">
        <x:v>注册时按编号去重。</x:v>
      </x:c>
      <x:c r="E13" s="143" t="str">
        <x:v>生效</x:v>
      </x:c>
    </x:row>
    <x:row r="14" ht="56" customHeight="1">
      <x:c r="A14" s="143" t="str">
        <x:v>意图读取</x:v>
      </x:c>
      <x:c r="B14" s="143" t="str">
        <x:v>普通牌只读取一种意图条件。</x:v>
      </x:c>
      <x:c r="C14" s="143" t="str">
        <x:v>不满足条件时不触发附加效果。</x:v>
      </x:c>
      <x:c r="D14" s="143" t="str">
        <x:v>复合意图按UI公开标签判断。</x:v>
      </x:c>
      <x:c r="E14" s="143" t="str">
        <x:v>生效</x:v>
      </x:c>
    </x:row>
    <x:row r="15" ht="56" customHeight="1">
      <x:c r="A15" s="144" t="str">
        <x:v>升级字段</x:v>
      </x:c>
      <x:c r="B15" s="144" t="str">
        <x:v>升级后费用与升级效果均为完整字段。</x:v>
      </x:c>
      <x:c r="C15" s="144" t="str">
        <x:v>费用未改变时仍重复填写基础费用。</x:v>
      </x:c>
      <x:c r="D15" s="144" t="str">
        <x:v>程序读取升级实体时覆盖费用与卡面效果。</x:v>
      </x:c>
      <x:c r="E15" s="144" t="str">
        <x:v>生效</x:v>
      </x:c>
    </x:row>
    <x:row r="16" ht="48" customHeight="1">
      <x:c r="A16"/>
      <x:c r="B16"/>
      <x:c r="C16"/>
      <x:c r="D16"/>
      <x:c r="E16"/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 ht="36" customHeight="1">
      <x:c r="A20"/>
      <x:c r="B20"/>
      <x:c r="C20"/>
      <x:c r="D20"/>
      <x:c r="E20"/>
    </x:row>
    <x:row r="21" ht="36" customHeight="1">
      <x:c r="A21"/>
      <x:c r="B21"/>
      <x:c r="C21"/>
      <x:c r="D21"/>
      <x:c r="E21"/>
    </x:row>
    <x:row r="22" ht="36" customHeight="1">
      <x:c r="A22"/>
      <x:c r="B22"/>
      <x:c r="C22"/>
      <x:c r="D22"/>
      <x:c r="E22"/>
    </x:row>
    <x:row r="23" ht="36" customHeight="1">
      <x:c r="A23"/>
      <x:c r="B23"/>
      <x:c r="C23"/>
      <x:c r="D23"/>
      <x:c r="E23"/>
    </x:row>
    <x:row r="24" ht="36" customHeight="1">
      <x:c r="A24"/>
      <x:c r="B24"/>
      <x:c r="C24"/>
      <x:c r="D24"/>
      <x:c r="E24"/>
    </x:row>
    <x:row r="25" ht="36" customHeight="1">
      <x:c r="A25"/>
      <x:c r="B25"/>
      <x:c r="C25"/>
      <x:c r="D25"/>
      <x:c r="E25"/>
    </x:row>
    <x:row r="26" ht="36" customHeight="1">
      <x:c r="A26"/>
      <x:c r="B26"/>
      <x:c r="C26"/>
      <x:c r="D26"/>
      <x:c r="E26"/>
    </x:row>
    <x:row r="27">
      <x:c r="A27"/>
      <x:c r="B27"/>
      <x:c r="C27"/>
      <x:c r="D27"/>
      <x:c r="E27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5683285c1a24d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5" hidden="0" customWidth="1"/>
    <x:col min="4" max="4" width="26" hidden="0" customWidth="1"/>
    <x:col min="5" max="5" width="12" hidden="0" customWidth="1"/>
    <x:col min="6" max="6" width="14" hidden="0" customWidth="1"/>
  </x:cols>
  <x:sheetData>
    <x:row r="1" ht="30" customHeight="1">
      <x:c r="A1" s="124" t="str">
        <x:v>水系V8｜评审统计</x:v>
      </x:c>
      <x:c r="B1" s="124"/>
      <x:c r="C1" s="124"/>
      <x:c r="D1" s="124"/>
      <x:c r="E1" s="124"/>
      <x:c r="F1" s="124"/>
    </x:row>
    <x:row r="2" ht="24" customHeight="1">
      <x:c r="A2"/>
      <x:c r="B2"/>
      <x:c r="C2"/>
      <x:c r="D2"/>
      <x:c r="E2"/>
      <x:c r="F2"/>
    </x:row>
    <x:row r="3">
      <x:c r="A3" s="134" t="str">
        <x:v>指标</x:v>
      </x:c>
      <x:c r="B3" s="134" t="str">
        <x:v>结果</x:v>
      </x:c>
      <x:c r="D3" s="134" t="str">
        <x:v>核心标尺</x:v>
      </x:c>
      <x:c r="E3" s="134" t="str">
        <x:v>值</x:v>
      </x:c>
      <x:c r="F3" s="134" t="str">
        <x:v>状态</x:v>
      </x:c>
    </x:row>
    <x:row r="4">
      <x:c r="A4" s="145" t="str">
        <x:v>终稿总数</x:v>
      </x:c>
      <x:c r="B4" s="145" t="n">
        <x:f>COUNTA('水系技能池'!$A$5:$A$70)</x:f>
        <x:v>66</x:v>
      </x:c>
      <x:c r="D4" s="148" t="str">
        <x:v>1费纯护盾</x:v>
      </x:c>
      <x:c r="E4" s="148" t="n">
        <x:v>8</x:v>
      </x:c>
      <x:c r="F4" s="148" t="str">
        <x:v>生效</x:v>
      </x:c>
    </x:row>
    <x:row r="5">
      <x:c r="A5" s="146" t="str">
        <x:v>纯水牌</x:v>
      </x:c>
      <x:c r="B5" s="146" t="n">
        <x:f>COUNTIF('水系技能池'!$O$5:$O$70,"水")</x:f>
        <x:v>31</x:v>
      </x:c>
      <x:c r="D5" s="148" t="str">
        <x:v>2费纯护盾</x:v>
      </x:c>
      <x:c r="E5" s="148" t="n">
        <x:v>14</x:v>
      </x:c>
      <x:c r="F5" s="148" t="str">
        <x:v>生效</x:v>
      </x:c>
    </x:row>
    <x:row r="6">
      <x:c r="A6" s="146" t="str">
        <x:v>双系牌</x:v>
      </x:c>
      <x:c r="B6" s="146" t="n">
        <x:f>B4-B5</x:f>
        <x:v>35</x:v>
      </x:c>
      <x:c r="D6" s="148" t="str">
        <x:v>1费纯抽牌</x:v>
      </x:c>
      <x:c r="E6" s="148" t="n">
        <x:v>3</x:v>
      </x:c>
      <x:c r="F6" s="148" t="str">
        <x:v>生效</x:v>
      </x:c>
    </x:row>
    <x:row r="7">
      <x:c r="A7" s="146" t="str">
        <x:v>白卡</x:v>
      </x:c>
      <x:c r="B7" s="146" t="n">
        <x:f>COUNTIF('水系技能池'!$E$5:$E$70,"白")</x:f>
        <x:v>11</x:v>
      </x:c>
      <x:c r="D7"/>
      <x:c r="E7"/>
    </x:row>
    <x:row r="8">
      <x:c r="A8" s="146" t="str">
        <x:v>蓝卡</x:v>
      </x:c>
      <x:c r="B8" s="146" t="n">
        <x:f>COUNTIF('水系技能池'!$E$5:$E$70,"蓝")</x:f>
        <x:v>36</x:v>
      </x:c>
      <x:c r="D8"/>
      <x:c r="E8"/>
    </x:row>
    <x:row r="9">
      <x:c r="A9" s="146" t="str">
        <x:v>金卡</x:v>
      </x:c>
      <x:c r="B9" s="146" t="n">
        <x:f>COUNTIF('水系技能池'!$E$5:$E$70,"金")</x:f>
        <x:v>19</x:v>
      </x:c>
    </x:row>
    <x:row r="10">
      <x:c r="A10" s="146" t="str">
        <x:v>升级完整</x:v>
      </x:c>
      <x:c r="B10" s="146" t="n">
        <x:f>COUNTIF('水系技能池'!$Q$5:$Q$70,"&lt;&gt;")</x:f>
        <x:v>66</x:v>
      </x:c>
    </x:row>
    <x:row r="11">
      <x:c r="A11" s="147" t="str">
        <x:v>本轮删除</x:v>
      </x:c>
      <x:c r="B11" s="147" t="n">
        <x:f>3</x:f>
        <x:v>3</x:v>
      </x:c>
      <x:c r="D11"/>
      <x:c r="E11"/>
    </x:row>
    <x:row r="12">
      <x:c r="A12"/>
      <x:c r="B12"/>
      <x:c r="D12"/>
      <x:c r="E12"/>
    </x:row>
    <x:row r="13">
      <x:c r="A13"/>
      <x:c r="B13"/>
      <x:c r="D13"/>
      <x:c r="E13"/>
    </x:row>
    <x:row r="14">
      <x:c r="A14"/>
      <x:c r="B14"/>
      <x:c r="D14"/>
      <x:c r="E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0fcbf0c0e2cd46d4"/>
    <x:tablePart xmlns:r="http://schemas.openxmlformats.org/officeDocument/2006/relationships" r:id="R66ce6daa908940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62" hidden="0" customWidth="1"/>
    <x:col min="8" max="8" width="62" hidden="0" customWidth="1"/>
  </x:cols>
  <x:sheetData>
    <x:row r="1">
      <x:c r="A1" s="124" t="str">
        <x:v>水系V8｜删除归档</x:v>
      </x:c>
      <x:c r="B1" s="124"/>
      <x:c r="C1" s="124"/>
      <x:c r="D1" s="124"/>
      <x:c r="E1" s="124"/>
      <x:c r="F1" s="124"/>
      <x:c r="G1" s="124"/>
      <x:c r="H1" s="124"/>
    </x:row>
    <x:row r="2">
      <x:c r="A2" s="128" t="str">
        <x:v>记录升级审阅中删除的3张牌；不进入生成池。</x:v>
      </x:c>
      <x:c r="B2" s="128"/>
      <x:c r="C2" s="128"/>
      <x:c r="D2" s="128"/>
      <x:c r="E2" s="128"/>
      <x:c r="F2" s="128"/>
      <x:c r="G2" s="128"/>
      <x:c r="H2" s="128"/>
    </x:row>
    <x:row r="4">
      <x:c r="A4" s="154" t="str">
        <x:v>编号</x:v>
      </x:c>
      <x:c r="B4" s="154" t="str">
        <x:v>名称</x:v>
      </x:c>
      <x:c r="C4" s="154" t="str">
        <x:v>属性</x:v>
      </x:c>
      <x:c r="D4" s="154" t="str">
        <x:v>稀有度</x:v>
      </x:c>
      <x:c r="E4" s="154" t="str">
        <x:v>费用</x:v>
      </x:c>
      <x:c r="F4" s="154" t="str">
        <x:v>类型</x:v>
      </x:c>
      <x:c r="G4" s="154" t="str">
        <x:v>删除前效果</x:v>
      </x:c>
      <x:c r="H4" s="154" t="str">
        <x:v>删除理由</x:v>
      </x:c>
    </x:row>
    <x:row r="5" ht="60" customHeight="1">
      <x:c r="A5" s="155" t="str">
        <x:v>W028</x:v>
      </x:c>
      <x:c r="B5" s="155" t="str">
        <x:v>镇潮</x:v>
      </x:c>
      <x:c r="C5" s="155" t="str">
        <x:v>水</x:v>
      </x:c>
      <x:c r="D5" s="155" t="str">
        <x:v>金</x:v>
      </x:c>
      <x:c r="E5" s="155" t="n">
        <x:v>2</x:v>
      </x:c>
      <x:c r="F5" s="155" t="str">
        <x:v>技能</x:v>
      </x:c>
      <x:c r="G5" s="155" t="str">
        <x:v>选择1个敌人。获得1层泡影。若其意图不包含攻击，再获得1层泡影。消耗。</x:v>
      </x:c>
      <x:c r="H5" s="155" t="str">
        <x:v>设计师在升级审阅第2批删除。</x:v>
      </x:c>
    </x:row>
    <x:row r="6" ht="60" customHeight="1">
      <x:c r="A6" s="156" t="str">
        <x:v>W046</x:v>
      </x:c>
      <x:c r="B6" s="156" t="str">
        <x:v>潮壁</x:v>
      </x:c>
      <x:c r="C6" s="156" t="str">
        <x:v>水</x:v>
      </x:c>
      <x:c r="D6" s="156" t="str">
        <x:v>白</x:v>
      </x:c>
      <x:c r="E6" s="156" t="str">
        <x:v>X</x:v>
      </x:c>
      <x:c r="F6" s="156" t="str">
        <x:v>技能</x:v>
      </x:c>
      <x:c r="G6" s="156" t="str">
        <x:v>消耗所有能量。每消耗1点能量，获得8点护盾。</x:v>
      </x:c>
      <x:c r="H6" s="156" t="str">
        <x:v>设计师在升级审阅第3批删除。</x:v>
      </x:c>
    </x:row>
    <x:row r="7" ht="60" customHeight="1">
      <x:c r="A7" s="157" t="str">
        <x:v>L024</x:v>
      </x:c>
      <x:c r="B7" s="157" t="str">
        <x:v>权能启示</x:v>
      </x:c>
      <x:c r="C7" s="157" t="str">
        <x:v>水·光</x:v>
      </x:c>
      <x:c r="D7" s="157" t="str">
        <x:v>白</x:v>
      </x:c>
      <x:c r="E7" s="157" t="n">
        <x:v>1</x:v>
      </x:c>
      <x:c r="F7" s="157" t="str">
        <x:v>技能</x:v>
      </x:c>
      <x:c r="G7" s="157" t="str">
        <x:v>随机生成1张能力牌加入手牌。其费用在本回合降为0。消耗。</x:v>
      </x:c>
      <x:c r="H7" s="157" t="str">
        <x:v>与光系V12的L024「恩典」编号冲突，且读取旧能力牌生成体系，设计师删除。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5b9df9b3fa74791"/>
  </x:tableParts>
</x:worksheet>
</file>