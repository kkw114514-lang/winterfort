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2b7128bacf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无色卡池" sheetId="1" r:id="Rf204a87021324f55"/>
    <x:sheet xmlns:r="http://schemas.openxmlformats.org/officeDocument/2006/relationships" name="卡池总览" sheetId="2" r:id="R21085c99445d4248"/>
    <x:sheet xmlns:r="http://schemas.openxmlformats.org/officeDocument/2006/relationships" name="特殊牌处置" sheetId="3" r:id="R4c3d22ff402044b7"/>
    <x:sheet xmlns:r="http://schemas.openxmlformats.org/officeDocument/2006/relationships" name="规则与边界" sheetId="4" r:id="Rc6a678b86875411e"/>
    <x:sheet xmlns:r="http://schemas.openxmlformats.org/officeDocument/2006/relationships" name="评审变更记录" sheetId="5" r:id="Rdde0f0fbb8364312"/>
    <x:sheet xmlns:r="http://schemas.openxmlformats.org/officeDocument/2006/relationships" name="来源与版本" sheetId="6" r:id="R2b0abe25a5c242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i/>
      <x:sz val="10"/>
      <x:color rgb="FF4D5D68"/>
      <x:name val="Carlito"/>
    </x:font>
    <x:font>
      <x:b/>
      <x:sz val="10"/>
      <x:color rgb="FFFFFFFF"/>
      <x:name val="Carlito"/>
    </x:font>
    <x:font>
      <x:sz val="9"/>
      <x:color rgb="FF2E3B43"/>
      <x:name val="Carlito"/>
    </x:font>
    <x:font>
      <x:b/>
      <x:sz val="10"/>
      <x:color rgb="FF8A2C2C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23364D"/>
      </x:patternFill>
    </x:fill>
    <x:fill>
      <x:patternFill patternType="solid">
        <x:fgColor rgb="FFEAF1F3"/>
      </x:patternFill>
    </x:fill>
    <x:fill>
      <x:patternFill patternType="solid">
        <x:fgColor rgb="FF1F7A7A"/>
      </x:patternFill>
    </x:fill>
    <x:fill>
      <x:patternFill patternType="solid">
        <x:fgColor rgb="FFDDF1F8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</x:fills>
  <x:borders count="6">
    <x:border/>
    <x:border>
      <x:left style="thin">
        <x:color rgb="FFD1E0E5"/>
      </x:left>
      <x:right style="thin">
        <x:color rgb="FFD1E0E5"/>
      </x:right>
      <x:top style="thin">
        <x:color rgb="FFD1E0E5"/>
      </x:top>
      <x:bottom style="thin">
        <x:color rgb="FFD1E0E5"/>
      </x:bottom>
    </x:border>
    <x:border>
      <x:left style="thin">
        <x:color rgb="FFD8E4E8"/>
      </x:left>
      <x:right style="thin">
        <x:color rgb="FFD8E4E8"/>
      </x:right>
      <x:top style="thin">
        <x:color rgb="FFD8E4E8"/>
      </x:top>
      <x:bottom style="thin">
        <x:color rgb="FFD8E4E8"/>
      </x:bottom>
    </x:border>
    <x:border>
      <x:left style="thin">
        <x:color rgb="FFE6B8AF"/>
      </x:left>
      <x:top style="thin">
        <x:color rgb="FFE6B8AF"/>
      </x:top>
      <x:bottom style="thin">
        <x:color rgb="FFE6B8AF"/>
      </x:bottom>
    </x:border>
    <x:border>
      <x:top style="thin">
        <x:color rgb="FFE6B8AF"/>
      </x:top>
      <x:bottom style="thin">
        <x:color rgb="FFE6B8AF"/>
      </x:bottom>
    </x:border>
    <x:border>
      <x:right style="thin">
        <x:color rgb="FFE6B8AF"/>
      </x:right>
      <x:top style="thin">
        <x:color rgb="FFE6B8AF"/>
      </x:top>
      <x:bottom style="thin">
        <x:color rgb="FFE6B8AF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6" borderId="2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8" borderId="2" xfId="0" applyNumberFormat="1" applyFont="1" applyFill="1" applyBorder="1" applyAlignment="1">
      <x:alignment vertical="center" wrapText="1"/>
    </x:xf>
    <x:xf numFmtId="0" fontId="4" fillId="9" borderId="2" xfId="0" applyNumberFormat="1" applyFont="1" applyFill="1" applyBorder="1" applyAlignment="1">
      <x:alignment vertical="center" wrapText="1"/>
    </x:xf>
    <x:xf numFmtId="0" fontId="4" fillId="10" borderId="2" xfId="0" applyNumberFormat="1" applyFont="1" applyFill="1" applyBorder="1" applyAlignment="1">
      <x:alignment vertical="center" wrapText="1"/>
    </x:xf>
    <x:xf numFmtId="0" fontId="4" fillId="11" borderId="2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2" xfId="0" applyNumberFormat="1" applyFont="1" applyFill="1" applyBorder="1"/>
    <x:xf numFmtId="200" fontId="4" fillId="0" borderId="2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vertical="center" wrapText="1"/>
    </x:xf>
    <x:xf numFmtId="200" fontId="4" fillId="11" borderId="2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3" xfId="0" applyNumberFormat="1" applyFont="1" applyFill="1" applyBorder="1"/>
    <x:xf numFmtId="0" fontId="5" fillId="9" borderId="4" xfId="0" applyNumberFormat="1" applyFont="1" applyFill="1" applyBorder="1"/>
    <x:xf numFmtId="0" fontId="5" fillId="9" borderId="5" xfId="0" applyNumberFormat="1" applyFont="1" applyFill="1" applyBorder="1"/>
    <x:xf numFmtId="0" fontId="5" fillId="9" borderId="3" xfId="0" applyNumberFormat="1" applyFont="1" applyFill="1" applyBorder="1" applyAlignment="1">
      <x:alignment wrapText="1"/>
    </x:xf>
    <x:xf numFmtId="0" fontId="5" fillId="9" borderId="4" xfId="0" applyNumberFormat="1" applyFont="1" applyFill="1" applyBorder="1" applyAlignment="1">
      <x:alignment wrapText="1"/>
    </x:xf>
    <x:xf numFmtId="0" fontId="5" fillId="9" borderId="5" xfId="0" applyNumberFormat="1" applyFont="1" applyFill="1" applyBorder="1" applyAlignment="1">
      <x:alignment wrapText="1"/>
    </x:xf>
    <x:xf numFmtId="0" fontId="5" fillId="9" borderId="3" xfId="0" applyNumberFormat="1" applyFont="1" applyFill="1" applyBorder="1" applyAlignment="1">
      <x:alignment vertical="center" wrapText="1"/>
    </x:xf>
    <x:xf numFmtId="0" fontId="5" fillId="9" borderId="4" xfId="0" applyNumberFormat="1" applyFont="1" applyFill="1" applyBorder="1" applyAlignment="1">
      <x:alignment vertical="center" wrapText="1"/>
    </x:xf>
    <x:xf numFmtId="0" fontId="5" fillId="9" borderId="5" xfId="0" applyNumberFormat="1" applyFont="1" applyFill="1" applyBorder="1" applyAlignment="1">
      <x:alignment vertical="center" wrapText="1"/>
    </x:xf>
    <x:xf numFmtId="0" fontId="4" fillId="12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db558bc73a46cd" /><Relationship Type="http://schemas.openxmlformats.org/officeDocument/2006/relationships/theme" Target="/xl/theme/theme1.xml" Id="R94fea5a263794fc2" /><Relationship Type="http://schemas.openxmlformats.org/officeDocument/2006/relationships/sharedStrings" Target="/xl/sharedStrings.xml" Id="R7ba9a4d77a914e06" /><Relationship Type="http://schemas.openxmlformats.org/officeDocument/2006/relationships/worksheet" Target="/xl/worksheets/sheet1.xml" Id="Rf204a87021324f55" /><Relationship Type="http://schemas.openxmlformats.org/officeDocument/2006/relationships/worksheet" Target="/xl/worksheets/sheet2.xml" Id="R21085c99445d4248" /><Relationship Type="http://schemas.openxmlformats.org/officeDocument/2006/relationships/worksheet" Target="/xl/worksheets/sheet3.xml" Id="R4c3d22ff402044b7" /><Relationship Type="http://schemas.openxmlformats.org/officeDocument/2006/relationships/worksheet" Target="/xl/worksheets/sheet4.xml" Id="Rc6a678b86875411e" /><Relationship Type="http://schemas.openxmlformats.org/officeDocument/2006/relationships/worksheet" Target="/xl/worksheets/sheet5.xml" Id="Rdde0f0fbb8364312" /><Relationship Type="http://schemas.openxmlformats.org/officeDocument/2006/relationships/worksheet" Target="/xl/worksheets/sheet6.xml" Id="R2b0abe25a5c242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11.109999656677246" hidden="0" customWidth="1"/>
    <x:col min="3" max="3" width="6.889999866485596" hidden="0" customWidth="1"/>
    <x:col min="4" max="4" width="12.220000267028809" hidden="0" customWidth="1"/>
    <x:col min="5" max="5" width="16.110000610351562" hidden="0" customWidth="1"/>
    <x:col min="6" max="6" width="5.78000020980835" hidden="0" customWidth="1"/>
    <x:col min="7" max="7" width="6.440000057220459" hidden="0" customWidth="1"/>
    <x:col min="8" max="8" width="43.33000183105469" hidden="0" customWidth="1"/>
    <x:col min="9" max="9" width="30" hidden="0" customWidth="1"/>
    <x:col min="10" max="10" width="34.439998626708984" hidden="0" customWidth="1"/>
    <x:col min="11" max="11" width="9.109999656677246" hidden="0" customWidth="1"/>
    <x:col min="12" max="12" width="10.220000267028809" hidden="0" customWidth="1"/>
    <x:col min="13" max="13" width="9.329999923706055" hidden="0" customWidth="1"/>
    <x:col min="14" max="14" width="24.440000534057617" hidden="0" customWidth="1"/>
  </x:cols>
  <x:sheetData>
    <x:row r="1" ht="25.5" customHeight="1">
      <x:c r="A1" s="3" t="str">
        <x:v>Winterfort 无色卡池 V1 | 43张评审定稿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9张原创白卡＋19张尖塔结构蓝卡＋15张尖塔结构金卡。无色牌不具有属性标签，不进入普通战后属性奖励。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5.5" customHeight="1">
      <x:c r="A4" s="13" t="str">
        <x:v>编号</x:v>
      </x:c>
      <x:c r="B4" s="13" t="str">
        <x:v>名称</x:v>
      </x:c>
      <x:c r="C4" s="13" t="str">
        <x:v>稀有度</x:v>
      </x:c>
      <x:c r="D4" s="13" t="str">
        <x:v>设计来源</x:v>
      </x:c>
      <x:c r="E4" s="13" t="str">
        <x:v>尖塔原型</x:v>
      </x:c>
      <x:c r="F4" s="13" t="str">
        <x:v>费用</x:v>
      </x:c>
      <x:c r="G4" s="13" t="str">
        <x:v>类型</x:v>
      </x:c>
      <x:c r="H4" s="13" t="str">
        <x:v>卡面效果</x:v>
      </x:c>
      <x:c r="I4" s="13" t="str">
        <x:v>设计用途</x:v>
      </x:c>
      <x:c r="J4" s="13" t="str">
        <x:v>风险与边界</x:v>
      </x:c>
      <x:c r="K4" s="13" t="str">
        <x:v>风险级别</x:v>
      </x:c>
      <x:c r="L4" s="13" t="str">
        <x:v>池归属</x:v>
      </x:c>
      <x:c r="M4" s="13" t="str">
        <x:v>执行状态</x:v>
      </x:c>
      <x:c r="N4" s="13" t="str">
        <x:v>后续意见</x:v>
      </x:c>
    </x:row>
    <x:row r="5" ht="46.5" customHeight="1">
      <x:c r="A5" s="18" t="str">
        <x:v>NC003</x:v>
      </x:c>
      <x:c r="B5" s="18" t="str">
        <x:v>备用方案</x:v>
      </x:c>
      <x:c r="C5" s="20" t="str">
        <x:v>白</x:v>
      </x:c>
      <x:c r="D5" s="18" t="str">
        <x:v>原创</x:v>
      </x:c>
      <x:c r="E5" s="18" t="str">
        <x:v>—</x:v>
      </x:c>
      <x:c r="F5" s="18" t="n">
        <x:v>1</x:v>
      </x:c>
      <x:c r="G5" s="18" t="str">
        <x:v>技能</x:v>
      </x:c>
      <x:c r="H5" s="18" t="str">
        <x:v>抽2张牌。若打出前手牌中没有伤害牌，获得5点护盾。</x:v>
      </x:c>
      <x:c r="I5" s="18" t="str">
        <x:v>坏手修复，并奖励非攻击手牌。</x:v>
      </x:c>
      <x:c r="J5" s="18" t="str">
        <x:v>条件判定时点</x:v>
      </x:c>
      <x:c r="K5" s="21" t="str">
        <x:v>常规</x:v>
      </x:c>
      <x:c r="L5" s="18" t="str">
        <x:v>普通无色池</x:v>
      </x:c>
      <x:c r="M5" s="21" t="str">
        <x:v>评审通过</x:v>
      </x:c>
      <x:c r="N5" s="18" t="str"/>
    </x:row>
    <x:row r="6" ht="46.5" customHeight="1">
      <x:c r="A6" s="19" t="str">
        <x:v>NC004</x:v>
      </x:c>
      <x:c r="B6" s="19" t="str">
        <x:v>临时许可</x:v>
      </x:c>
      <x:c r="C6" s="20" t="str">
        <x:v>白</x:v>
      </x:c>
      <x:c r="D6" s="19" t="str">
        <x:v>原创</x:v>
      </x:c>
      <x:c r="E6" s="19" t="str">
        <x:v>—</x:v>
      </x:c>
      <x:c r="F6" s="19" t="n">
        <x:v>0</x:v>
      </x:c>
      <x:c r="G6" s="19" t="str">
        <x:v>技能</x:v>
      </x:c>
      <x:c r="H6" s="19" t="str">
        <x:v>本回合打出的下一张牌费用-1（最低为0）。消耗。</x:v>
      </x:c>
      <x:c r="I6" s="19" t="str">
        <x:v>通用节奏牌，可帮助高费牌或X费前置。</x:v>
      </x:c>
      <x:c r="J6" s="19" t="str">
        <x:v>0费循环</x:v>
      </x:c>
      <x:c r="K6" s="22" t="str">
        <x:v>优先压测</x:v>
      </x:c>
      <x:c r="L6" s="19" t="str">
        <x:v>普通无色池</x:v>
      </x:c>
      <x:c r="M6" s="21" t="str">
        <x:v>评审通过</x:v>
      </x:c>
      <x:c r="N6" s="19" t="str"/>
    </x:row>
    <x:row r="7" ht="46.5" customHeight="1">
      <x:c r="A7" s="18" t="str">
        <x:v>NC005</x:v>
      </x:c>
      <x:c r="B7" s="18" t="str">
        <x:v>隔夜保管</x:v>
      </x:c>
      <x:c r="C7" s="20" t="str">
        <x:v>白</x:v>
      </x:c>
      <x:c r="D7" s="18" t="str">
        <x:v>原创</x:v>
      </x:c>
      <x:c r="E7" s="18" t="str">
        <x:v>—</x:v>
      </x:c>
      <x:c r="F7" s="18" t="n">
        <x:v>1</x:v>
      </x:c>
      <x:c r="G7" s="18" t="str">
        <x:v>技能</x:v>
      </x:c>
      <x:c r="H7" s="18" t="str">
        <x:v>选择1张其他手牌，使其获得保留；其下次打出时费用-1（最低为0）。消耗。</x:v>
      </x:c>
      <x:c r="I7" s="18" t="str">
        <x:v>跨回合保存关键牌并补偿当前投入。</x:v>
      </x:c>
      <x:c r="J7" s="18" t="str">
        <x:v>保留状态与费用修正的持续时点。</x:v>
      </x:c>
      <x:c r="K7" s="21" t="str">
        <x:v>常规</x:v>
      </x:c>
      <x:c r="L7" s="18" t="str">
        <x:v>普通无色池</x:v>
      </x:c>
      <x:c r="M7" s="21" t="str">
        <x:v>评审通过</x:v>
      </x:c>
      <x:c r="N7" s="18" t="str"/>
    </x:row>
    <x:row r="8" ht="46.5" customHeight="1">
      <x:c r="A8" s="19" t="str">
        <x:v>NC007</x:v>
      </x:c>
      <x:c r="B8" s="19" t="str">
        <x:v>留白</x:v>
      </x:c>
      <x:c r="C8" s="20" t="str">
        <x:v>白</x:v>
      </x:c>
      <x:c r="D8" s="19" t="str">
        <x:v>原创</x:v>
      </x:c>
      <x:c r="E8" s="19" t="str">
        <x:v>—</x:v>
      </x:c>
      <x:c r="F8" s="19" t="n">
        <x:v>0</x:v>
      </x:c>
      <x:c r="G8" s="19" t="str">
        <x:v>伤害</x:v>
      </x:c>
      <x:c r="H8" s="19" t="str">
        <x:v>造成4点伤害。若打出前手牌中没有其他牌，伤害+9。</x:v>
      </x:c>
      <x:c r="I8" s="19" t="str">
        <x:v>任何牌组都能尝试的空手收束牌。</x:v>
      </x:c>
      <x:c r="J8" s="19" t="str">
        <x:v>暗系虚无自然受益</x:v>
      </x:c>
      <x:c r="K8" s="21" t="str">
        <x:v>常规</x:v>
      </x:c>
      <x:c r="L8" s="19" t="str">
        <x:v>普通无色池</x:v>
      </x:c>
      <x:c r="M8" s="21" t="str">
        <x:v>评审通过</x:v>
      </x:c>
      <x:c r="N8" s="19" t="str"/>
    </x:row>
    <x:row r="9" ht="46.5" customHeight="1">
      <x:c r="A9" s="18" t="str">
        <x:v>NC008</x:v>
      </x:c>
      <x:c r="B9" s="18" t="str">
        <x:v>交换顺序</x:v>
      </x:c>
      <x:c r="C9" s="20" t="str">
        <x:v>白</x:v>
      </x:c>
      <x:c r="D9" s="18" t="str">
        <x:v>原创</x:v>
      </x:c>
      <x:c r="E9" s="18" t="str">
        <x:v>—</x:v>
      </x:c>
      <x:c r="F9" s="18" t="n">
        <x:v>0</x:v>
      </x:c>
      <x:c r="G9" s="18" t="str">
        <x:v>技能</x:v>
      </x:c>
      <x:c r="H9" s="18" t="str">
        <x:v>查看抽牌堆顶3张牌，按任意顺序放回。消耗。</x:v>
      </x:c>
      <x:c r="I9" s="18" t="str">
        <x:v>零费计划工具，不直接赚牌。</x:v>
      </x:c>
      <x:c r="J9" s="18" t="str">
        <x:v>选择界面成本</x:v>
      </x:c>
      <x:c r="K9" s="21" t="str">
        <x:v>常规</x:v>
      </x:c>
      <x:c r="L9" s="18" t="str">
        <x:v>普通无色池</x:v>
      </x:c>
      <x:c r="M9" s="21" t="str">
        <x:v>评审通过</x:v>
      </x:c>
      <x:c r="N9" s="18" t="str"/>
    </x:row>
    <x:row r="10" ht="46.5" customHeight="1">
      <x:c r="A10" s="19" t="str">
        <x:v>NC009</x:v>
      </x:c>
      <x:c r="B10" s="19" t="str">
        <x:v>简易护符</x:v>
      </x:c>
      <x:c r="C10" s="20" t="str">
        <x:v>白</x:v>
      </x:c>
      <x:c r="D10" s="19" t="str">
        <x:v>原创</x:v>
      </x:c>
      <x:c r="E10" s="19" t="str">
        <x:v>—</x:v>
      </x:c>
      <x:c r="F10" s="19" t="n">
        <x:v>1</x:v>
      </x:c>
      <x:c r="G10" s="19" t="str">
        <x:v>技能</x:v>
      </x:c>
      <x:c r="H10" s="19" t="str">
        <x:v>获得7点护盾。本回合下一张伤害牌的伤害+3。</x:v>
      </x:c>
      <x:c r="I10" s="19" t="str">
        <x:v>把防御回合和下一次攻击连接起来。</x:v>
      </x:c>
      <x:c r="J10" s="19" t="str">
        <x:v>多段只增加总伤害3，不逐段增加</x:v>
      </x:c>
      <x:c r="K10" s="21" t="str">
        <x:v>常规</x:v>
      </x:c>
      <x:c r="L10" s="19" t="str">
        <x:v>普通无色池</x:v>
      </x:c>
      <x:c r="M10" s="21" t="str">
        <x:v>评审通过</x:v>
      </x:c>
      <x:c r="N10" s="19" t="str"/>
    </x:row>
    <x:row r="11" ht="46.5" customHeight="1">
      <x:c r="A11" s="18" t="str">
        <x:v>NC010</x:v>
      </x:c>
      <x:c r="B11" s="18" t="str">
        <x:v>余量</x:v>
      </x:c>
      <x:c r="C11" s="20" t="str">
        <x:v>白</x:v>
      </x:c>
      <x:c r="D11" s="18" t="str">
        <x:v>原创</x:v>
      </x:c>
      <x:c r="E11" s="18" t="str">
        <x:v>—</x:v>
      </x:c>
      <x:c r="F11" s="18" t="n">
        <x:v>1</x:v>
      </x:c>
      <x:c r="G11" s="18" t="str">
        <x:v>技能</x:v>
      </x:c>
      <x:c r="H11" s="18" t="str">
        <x:v>获得5点护盾。若支付费用后仍有至少2点能量，抽1张牌。</x:v>
      </x:c>
      <x:c r="I11" s="18" t="str">
        <x:v>奖励高能量回合但不强绑X费。</x:v>
      </x:c>
      <x:c r="J11" s="18" t="str">
        <x:v>费用支付后的判定</x:v>
      </x:c>
      <x:c r="K11" s="21" t="str">
        <x:v>常规</x:v>
      </x:c>
      <x:c r="L11" s="18" t="str">
        <x:v>普通无色池</x:v>
      </x:c>
      <x:c r="M11" s="21" t="str">
        <x:v>评审通过</x:v>
      </x:c>
      <x:c r="N11" s="18" t="str"/>
    </x:row>
    <x:row r="12" ht="46.5" customHeight="1">
      <x:c r="A12" s="19" t="str">
        <x:v>NC011</x:v>
      </x:c>
      <x:c r="B12" s="19" t="str">
        <x:v>风险折扣</x:v>
      </x:c>
      <x:c r="C12" s="20" t="str">
        <x:v>白</x:v>
      </x:c>
      <x:c r="D12" s="19" t="str">
        <x:v>原创</x:v>
      </x:c>
      <x:c r="E12" s="19" t="str">
        <x:v>—</x:v>
      </x:c>
      <x:c r="F12" s="19" t="n">
        <x:v>0</x:v>
      </x:c>
      <x:c r="G12" s="19" t="str">
        <x:v>技能</x:v>
      </x:c>
      <x:c r="H12" s="19" t="str">
        <x:v>获得1点能量。回合结束时，若仍有未消耗的能量，对自己造成4点伤害。消耗。</x:v>
      </x:c>
      <x:c r="I12" s="19" t="str">
        <x:v>要求玩家真正使用借来的能量。</x:v>
      </x:c>
      <x:c r="J12" s="19" t="str">
        <x:v>与能量保留能力联动</x:v>
      </x:c>
      <x:c r="K12" s="22" t="str">
        <x:v>优先压测</x:v>
      </x:c>
      <x:c r="L12" s="19" t="str">
        <x:v>普通无色池</x:v>
      </x:c>
      <x:c r="M12" s="21" t="str">
        <x:v>评审通过</x:v>
      </x:c>
      <x:c r="N12" s="19" t="str"/>
    </x:row>
    <x:row r="13" ht="46.5" customHeight="1">
      <x:c r="A13" s="18" t="str">
        <x:v>NC012</x:v>
      </x:c>
      <x:c r="B13" s="18" t="str">
        <x:v>换页</x:v>
      </x:c>
      <x:c r="C13" s="20" t="str">
        <x:v>白</x:v>
      </x:c>
      <x:c r="D13" s="18" t="str">
        <x:v>原创</x:v>
      </x:c>
      <x:c r="E13" s="18" t="str">
        <x:v>—</x:v>
      </x:c>
      <x:c r="F13" s="18" t="n">
        <x:v>1</x:v>
      </x:c>
      <x:c r="G13" s="18" t="str">
        <x:v>技能</x:v>
      </x:c>
      <x:c r="H13" s="18" t="str">
        <x:v>消耗1张手牌。抽2张牌。</x:v>
      </x:c>
      <x:c r="I13" s="18" t="str">
        <x:v>最基础的牌组压缩和过牌工具。</x:v>
      </x:c>
      <x:c r="J13" s="18" t="str">
        <x:v>会自然触发火系消耗事件</x:v>
      </x:c>
      <x:c r="K13" s="21" t="str">
        <x:v>常规</x:v>
      </x:c>
      <x:c r="L13" s="18" t="str">
        <x:v>普通无色池</x:v>
      </x:c>
      <x:c r="M13" s="21" t="str">
        <x:v>评审通过</x:v>
      </x:c>
      <x:c r="N13" s="18" t="str"/>
    </x:row>
    <x:row r="14" ht="46.5" customHeight="1">
      <x:c r="A14" s="19" t="str">
        <x:v>NC013</x:v>
      </x:c>
      <x:c r="B14" s="19" t="str">
        <x:v>急救</x:v>
      </x:c>
      <x:c r="C14" s="23" t="str">
        <x:v>蓝</x:v>
      </x:c>
      <x:c r="D14" s="19" t="str">
        <x:v>尖塔结构转译</x:v>
      </x:c>
      <x:c r="E14" s="19" t="str">
        <x:v>Bandage Up</x:v>
      </x:c>
      <x:c r="F14" s="19" t="n">
        <x:v>0</x:v>
      </x:c>
      <x:c r="G14" s="19" t="str">
        <x:v>技能</x:v>
      </x:c>
      <x:c r="H14" s="19" t="str">
        <x:v>回复4点生命。消耗。</x:v>
      </x:c>
      <x:c r="I14" s="19" t="str">
        <x:v>复用成熟结构，并按Winterfort现行词条与数值口径执行。</x:v>
      </x:c>
      <x:c r="J14" s="19" t="str">
        <x:v>稳定但稀有的战斗内恢复；商店定价应高。</x:v>
      </x:c>
      <x:c r="K14" s="21" t="str">
        <x:v>常规</x:v>
      </x:c>
      <x:c r="L14" s="19" t="str">
        <x:v>普通无色池</x:v>
      </x:c>
      <x:c r="M14" s="21" t="str">
        <x:v>评审通过</x:v>
      </x:c>
      <x:c r="N14" s="19" t="str"/>
    </x:row>
    <x:row r="15" ht="46.5" customHeight="1">
      <x:c r="A15" s="18" t="str">
        <x:v>NC014</x:v>
      </x:c>
      <x:c r="B15" s="18" t="str">
        <x:v>致盲</x:v>
      </x:c>
      <x:c r="C15" s="23" t="str">
        <x:v>蓝</x:v>
      </x:c>
      <x:c r="D15" s="18" t="str">
        <x:v>尖塔结构转译</x:v>
      </x:c>
      <x:c r="E15" s="18" t="str">
        <x:v>Blind</x:v>
      </x:c>
      <x:c r="F15" s="18" t="n">
        <x:v>0</x:v>
      </x:c>
      <x:c r="G15" s="18" t="str">
        <x:v>技能</x:v>
      </x:c>
      <x:c r="H15" s="18" t="str">
        <x:v>对目标施加2回合虚弱。</x:v>
      </x:c>
      <x:c r="I15" s="18" t="str">
        <x:v>复用成熟结构，并按Winterfort现行词条与数值口径执行。</x:v>
      </x:c>
      <x:c r="J15" s="18" t="str">
        <x:v>虚弱固定降低25%攻击伤害。</x:v>
      </x:c>
      <x:c r="K15" s="21" t="str">
        <x:v>常规</x:v>
      </x:c>
      <x:c r="L15" s="18" t="str">
        <x:v>普通无色池</x:v>
      </x:c>
      <x:c r="M15" s="21" t="str">
        <x:v>评审通过</x:v>
      </x:c>
      <x:c r="N15" s="18" t="str"/>
    </x:row>
    <x:row r="16" ht="46.5" customHeight="1">
      <x:c r="A16" s="19" t="str">
        <x:v>NC015</x:v>
      </x:c>
      <x:c r="B16" s="19" t="str">
        <x:v>暗锁</x:v>
      </x:c>
      <x:c r="C16" s="23" t="str">
        <x:v>蓝</x:v>
      </x:c>
      <x:c r="D16" s="19" t="str">
        <x:v>尖塔结构转译</x:v>
      </x:c>
      <x:c r="E16" s="19" t="str">
        <x:v>Dark Shackles</x:v>
      </x:c>
      <x:c r="F16" s="19" t="n">
        <x:v>0</x:v>
      </x:c>
      <x:c r="G16" s="19" t="str">
        <x:v>技能</x:v>
      </x:c>
      <x:c r="H16" s="19" t="str">
        <x:v>目标本回合失去9点力量。消耗。</x:v>
      </x:c>
      <x:c r="I16" s="19" t="str">
        <x:v>复用成熟结构，并按Winterfort现行词条与数值口径执行。</x:v>
      </x:c>
      <x:c r="J16" s="19" t="str">
        <x:v>对多段攻击极强，Boss仍可正常受临时力量削减。</x:v>
      </x:c>
      <x:c r="K16" s="21" t="str">
        <x:v>常规</x:v>
      </x:c>
      <x:c r="L16" s="19" t="str">
        <x:v>普通无色池</x:v>
      </x:c>
      <x:c r="M16" s="21" t="str">
        <x:v>评审通过</x:v>
      </x:c>
      <x:c r="N16" s="19" t="str"/>
    </x:row>
    <x:row r="17" ht="46.5" customHeight="1">
      <x:c r="A17" s="18" t="str">
        <x:v>NC016</x:v>
      </x:c>
      <x:c r="B17" s="18" t="str">
        <x:v>深呼吸</x:v>
      </x:c>
      <x:c r="C17" s="23" t="str">
        <x:v>蓝</x:v>
      </x:c>
      <x:c r="D17" s="18" t="str">
        <x:v>尖塔结构转译</x:v>
      </x:c>
      <x:c r="E17" s="18" t="str">
        <x:v>Deep Breath</x:v>
      </x:c>
      <x:c r="F17" s="18" t="n">
        <x:v>0</x:v>
      </x:c>
      <x:c r="G17" s="18" t="str">
        <x:v>技能</x:v>
      </x:c>
      <x:c r="H17" s="18" t="str">
        <x:v>将弃牌堆洗入抽牌堆。抽1张牌。</x:v>
      </x:c>
      <x:c r="I17" s="18" t="str">
        <x:v>复用成熟结构，并按Winterfort现行词条与数值口径执行。</x:v>
      </x:c>
      <x:c r="J17" s="18" t="str">
        <x:v>改变洗牌时点；会影响暗系墓场规模。</x:v>
      </x:c>
      <x:c r="K17" s="22" t="str">
        <x:v>优先压测</x:v>
      </x:c>
      <x:c r="L17" s="18" t="str">
        <x:v>普通无色池</x:v>
      </x:c>
      <x:c r="M17" s="21" t="str">
        <x:v>评审通过</x:v>
      </x:c>
      <x:c r="N17" s="18" t="str"/>
    </x:row>
    <x:row r="18" ht="46.5" customHeight="1">
      <x:c r="A18" s="19" t="str">
        <x:v>NC017</x:v>
      </x:c>
      <x:c r="B18" s="19" t="str">
        <x:v>发现</x:v>
      </x:c>
      <x:c r="C18" s="23" t="str">
        <x:v>蓝</x:v>
      </x:c>
      <x:c r="D18" s="19" t="str">
        <x:v>尖塔结构转译</x:v>
      </x:c>
      <x:c r="E18" s="19" t="str">
        <x:v>Discovery</x:v>
      </x:c>
      <x:c r="F18" s="19" t="n">
        <x:v>1</x:v>
      </x:c>
      <x:c r="G18" s="19" t="str">
        <x:v>技能</x:v>
      </x:c>
      <x:c r="H18" s="19" t="str">
        <x:v>从3张随机牌中选择1张加入手牌，其费用在本回合降为0。消耗。</x:v>
      </x:c>
      <x:c r="I18" s="19" t="str">
        <x:v>复用成熟结构，并按Winterfort现行词条与数值口径执行。</x:v>
      </x:c>
      <x:c r="J18" s="19" t="str">
        <x:v>生成结果来自五系正常战斗牌。</x:v>
      </x:c>
      <x:c r="K18" s="21" t="str">
        <x:v>常规</x:v>
      </x:c>
      <x:c r="L18" s="19" t="str">
        <x:v>普通无色池</x:v>
      </x:c>
      <x:c r="M18" s="21" t="str">
        <x:v>评审通过</x:v>
      </x:c>
      <x:c r="N18" s="19" t="str"/>
    </x:row>
    <x:row r="19" ht="46.5" customHeight="1">
      <x:c r="A19" s="18" t="str">
        <x:v>NC018</x:v>
      </x:c>
      <x:c r="B19" s="18" t="str">
        <x:v>先声夺人</x:v>
      </x:c>
      <x:c r="C19" s="23" t="str">
        <x:v>蓝</x:v>
      </x:c>
      <x:c r="D19" s="18" t="str">
        <x:v>尖塔结构转译</x:v>
      </x:c>
      <x:c r="E19" s="18" t="str">
        <x:v>Dramatic Entrance</x:v>
      </x:c>
      <x:c r="F19" s="18" t="n">
        <x:v>0</x:v>
      </x:c>
      <x:c r="G19" s="18" t="str">
        <x:v>伤害</x:v>
      </x:c>
      <x:c r="H19" s="18" t="str">
        <x:v>固有。对敌方全体造成8点伤害。消耗。</x:v>
      </x:c>
      <x:c r="I19" s="18" t="str">
        <x:v>复用成熟结构，并按Winterfort现行词条与数值口径执行。</x:v>
      </x:c>
      <x:c r="J19" s="18" t="str">
        <x:v>一层群怪过渡牌。</x:v>
      </x:c>
      <x:c r="K19" s="21" t="str">
        <x:v>常规</x:v>
      </x:c>
      <x:c r="L19" s="18" t="str">
        <x:v>普通无色池</x:v>
      </x:c>
      <x:c r="M19" s="21" t="str">
        <x:v>评审通过</x:v>
      </x:c>
      <x:c r="N19" s="18" t="str"/>
    </x:row>
    <x:row r="20" ht="46.5" customHeight="1">
      <x:c r="A20" s="19" t="str">
        <x:v>NC019</x:v>
      </x:c>
      <x:c r="B20" s="19" t="str">
        <x:v>启蒙</x:v>
      </x:c>
      <x:c r="C20" s="23" t="str">
        <x:v>蓝</x:v>
      </x:c>
      <x:c r="D20" s="19" t="str">
        <x:v>尖塔结构转译</x:v>
      </x:c>
      <x:c r="E20" s="19" t="str">
        <x:v>Enlightenment</x:v>
      </x:c>
      <x:c r="F20" s="19" t="n">
        <x:v>0</x:v>
      </x:c>
      <x:c r="G20" s="19" t="str">
        <x:v>技能</x:v>
      </x:c>
      <x:c r="H20" s="19" t="str">
        <x:v>本回合手牌中费用大于1的牌费用变为1。</x:v>
      </x:c>
      <x:c r="I20" s="19" t="str">
        <x:v>复用成熟结构，并按Winterfort现行词条与数值口径执行。</x:v>
      </x:c>
      <x:c r="J20" s="19" t="str">
        <x:v>只持续当前回合，避免永久减费泛滥。</x:v>
      </x:c>
      <x:c r="K20" s="21" t="str">
        <x:v>常规</x:v>
      </x:c>
      <x:c r="L20" s="19" t="str">
        <x:v>普通无色池</x:v>
      </x:c>
      <x:c r="M20" s="21" t="str">
        <x:v>评审通过</x:v>
      </x:c>
      <x:c r="N20" s="19" t="str"/>
    </x:row>
    <x:row r="21" ht="46.5" customHeight="1">
      <x:c r="A21" s="18" t="str">
        <x:v>NC020</x:v>
      </x:c>
      <x:c r="B21" s="18" t="str">
        <x:v>妙计</x:v>
      </x:c>
      <x:c r="C21" s="23" t="str">
        <x:v>蓝</x:v>
      </x:c>
      <x:c r="D21" s="18" t="str">
        <x:v>尖塔结构转译</x:v>
      </x:c>
      <x:c r="E21" s="18" t="str">
        <x:v>Finesse</x:v>
      </x:c>
      <x:c r="F21" s="18" t="n">
        <x:v>0</x:v>
      </x:c>
      <x:c r="G21" s="18" t="str">
        <x:v>技能</x:v>
      </x:c>
      <x:c r="H21" s="18" t="str">
        <x:v>获得2点护盾。抽1张牌。</x:v>
      </x:c>
      <x:c r="I21" s="18" t="str">
        <x:v>复用成熟结构，并按Winterfort现行词条与数值口径执行。</x:v>
      </x:c>
      <x:c r="J21" s="18" t="str">
        <x:v>零费替换自身，数值保持克制。</x:v>
      </x:c>
      <x:c r="K21" s="21" t="str">
        <x:v>常规</x:v>
      </x:c>
      <x:c r="L21" s="18" t="str">
        <x:v>普通无色池</x:v>
      </x:c>
      <x:c r="M21" s="21" t="str">
        <x:v>评审通过</x:v>
      </x:c>
      <x:c r="N21" s="18" t="str"/>
    </x:row>
    <x:row r="22" ht="46.5" customHeight="1">
      <x:c r="A22" s="19" t="str">
        <x:v>NC021</x:v>
      </x:c>
      <x:c r="B22" s="19" t="str">
        <x:v>钢铁闪光</x:v>
      </x:c>
      <x:c r="C22" s="23" t="str">
        <x:v>蓝</x:v>
      </x:c>
      <x:c r="D22" s="19" t="str">
        <x:v>尖塔结构转译</x:v>
      </x:c>
      <x:c r="E22" s="19" t="str">
        <x:v>Flash of Steel</x:v>
      </x:c>
      <x:c r="F22" s="19" t="n">
        <x:v>0</x:v>
      </x:c>
      <x:c r="G22" s="19" t="str">
        <x:v>伤害</x:v>
      </x:c>
      <x:c r="H22" s="19" t="str">
        <x:v>造成3点伤害。抽1张牌。</x:v>
      </x:c>
      <x:c r="I22" s="19" t="str">
        <x:v>复用成熟结构，并按Winterfort现行词条与数值口径执行。</x:v>
      </x:c>
      <x:c r="J22" s="19" t="str">
        <x:v>极强循环零件，商店价格与出现率要限制。</x:v>
      </x:c>
      <x:c r="K22" s="22" t="str">
        <x:v>优先压测</x:v>
      </x:c>
      <x:c r="L22" s="19" t="str">
        <x:v>普通无色池</x:v>
      </x:c>
      <x:c r="M22" s="21" t="str">
        <x:v>评审通过</x:v>
      </x:c>
      <x:c r="N22" s="19" t="str"/>
    </x:row>
    <x:row r="23" ht="46.5" customHeight="1">
      <x:c r="A23" s="18" t="str">
        <x:v>NC022</x:v>
      </x:c>
      <x:c r="B23" s="18" t="str">
        <x:v>深谋远虑</x:v>
      </x:c>
      <x:c r="C23" s="23" t="str">
        <x:v>蓝</x:v>
      </x:c>
      <x:c r="D23" s="18" t="str">
        <x:v>尖塔结构转译</x:v>
      </x:c>
      <x:c r="E23" s="18" t="str">
        <x:v>Forethought</x:v>
      </x:c>
      <x:c r="F23" s="18" t="n">
        <x:v>0</x:v>
      </x:c>
      <x:c r="G23" s="18" t="str">
        <x:v>技能</x:v>
      </x:c>
      <x:c r="H23" s="18" t="str">
        <x:v>将1张手牌置于抽牌堆底；其费用在下次打出前变为0。</x:v>
      </x:c>
      <x:c r="I23" s="18" t="str">
        <x:v>复用成熟结构，并按Winterfort现行词条与数值口径执行。</x:v>
      </x:c>
      <x:c r="J23" s="18" t="str">
        <x:v>当前亏牌，未来赚费用。</x:v>
      </x:c>
      <x:c r="K23" s="21" t="str">
        <x:v>常规</x:v>
      </x:c>
      <x:c r="L23" s="18" t="str">
        <x:v>普通无色池</x:v>
      </x:c>
      <x:c r="M23" s="21" t="str">
        <x:v>评审通过</x:v>
      </x:c>
      <x:c r="N23" s="18" t="str"/>
    </x:row>
    <x:row r="24" ht="46.5" customHeight="1">
      <x:c r="A24" s="19" t="str">
        <x:v>NC023</x:v>
      </x:c>
      <x:c r="B24" s="19" t="str">
        <x:v>本能反应</x:v>
      </x:c>
      <x:c r="C24" s="23" t="str">
        <x:v>蓝</x:v>
      </x:c>
      <x:c r="D24" s="19" t="str">
        <x:v>尖塔结构转译</x:v>
      </x:c>
      <x:c r="E24" s="19" t="str">
        <x:v>Good Instincts</x:v>
      </x:c>
      <x:c r="F24" s="19" t="n">
        <x:v>0</x:v>
      </x:c>
      <x:c r="G24" s="19" t="str">
        <x:v>技能</x:v>
      </x:c>
      <x:c r="H24" s="19" t="str">
        <x:v>获得6点护盾。</x:v>
      </x:c>
      <x:c r="I24" s="19" t="str">
        <x:v>复用成熟结构，并按Winterfort现行词条与数值口径执行。</x:v>
      </x:c>
      <x:c r="J24" s="19" t="str">
        <x:v>无条件0费护盾，升级值不宜过高。</x:v>
      </x:c>
      <x:c r="K24" s="21" t="str">
        <x:v>常规</x:v>
      </x:c>
      <x:c r="L24" s="19" t="str">
        <x:v>普通无色池</x:v>
      </x:c>
      <x:c r="M24" s="21" t="str">
        <x:v>评审通过</x:v>
      </x:c>
      <x:c r="N24" s="19" t="str"/>
    </x:row>
    <x:row r="25" ht="46.5" customHeight="1">
      <x:c r="A25" s="18" t="str">
        <x:v>NC024</x:v>
      </x:c>
      <x:c r="B25" s="18" t="str">
        <x:v>急不可耐</x:v>
      </x:c>
      <x:c r="C25" s="23" t="str">
        <x:v>蓝</x:v>
      </x:c>
      <x:c r="D25" s="18" t="str">
        <x:v>尖塔结构转译</x:v>
      </x:c>
      <x:c r="E25" s="18" t="str">
        <x:v>Impatience</x:v>
      </x:c>
      <x:c r="F25" s="18" t="n">
        <x:v>0</x:v>
      </x:c>
      <x:c r="G25" s="18" t="str">
        <x:v>技能</x:v>
      </x:c>
      <x:c r="H25" s="18" t="str">
        <x:v>若手牌中没有伤害牌，抽2张牌。</x:v>
      </x:c>
      <x:c r="I25" s="18" t="str">
        <x:v>复用成熟结构，并按Winterfort现行词条与数值口径执行。</x:v>
      </x:c>
      <x:c r="J25" s="18" t="str">
        <x:v>奖励先打空攻击牌。</x:v>
      </x:c>
      <x:c r="K25" s="21" t="str">
        <x:v>常规</x:v>
      </x:c>
      <x:c r="L25" s="18" t="str">
        <x:v>普通无色池</x:v>
      </x:c>
      <x:c r="M25" s="21" t="str">
        <x:v>评审通过</x:v>
      </x:c>
      <x:c r="N25" s="18" t="str"/>
    </x:row>
    <x:row r="26" ht="46.5" customHeight="1">
      <x:c r="A26" s="19" t="str">
        <x:v>NC025</x:v>
      </x:c>
      <x:c r="B26" s="19" t="str">
        <x:v>万事通</x:v>
      </x:c>
      <x:c r="C26" s="23" t="str">
        <x:v>蓝</x:v>
      </x:c>
      <x:c r="D26" s="19" t="str">
        <x:v>尖塔结构转译</x:v>
      </x:c>
      <x:c r="E26" s="19" t="str">
        <x:v>Jack of All Trades</x:v>
      </x:c>
      <x:c r="F26" s="19" t="n">
        <x:v>0</x:v>
      </x:c>
      <x:c r="G26" s="19" t="str">
        <x:v>技能</x:v>
      </x:c>
      <x:c r="H26" s="19" t="str">
        <x:v>随机生成1张无色牌加入手牌。消耗。</x:v>
      </x:c>
      <x:c r="I26" s="19" t="str">
        <x:v>复用成熟结构，并按Winterfort现行词条与数值口径执行。</x:v>
      </x:c>
      <x:c r="J26" s="19" t="str">
        <x:v>允许生成到自身类牌，递归风险需压测。</x:v>
      </x:c>
      <x:c r="K26" s="21" t="str">
        <x:v>常规</x:v>
      </x:c>
      <x:c r="L26" s="19" t="str">
        <x:v>普通无色池</x:v>
      </x:c>
      <x:c r="M26" s="21" t="str">
        <x:v>评审通过</x:v>
      </x:c>
      <x:c r="N26" s="19" t="str"/>
    </x:row>
    <x:row r="27" ht="46.5" customHeight="1">
      <x:c r="A27" s="18" t="str">
        <x:v>NC026</x:v>
      </x:c>
      <x:c r="B27" s="18" t="str">
        <x:v>疯狂</x:v>
      </x:c>
      <x:c r="C27" s="23" t="str">
        <x:v>蓝</x:v>
      </x:c>
      <x:c r="D27" s="18" t="str">
        <x:v>尖塔结构转译</x:v>
      </x:c>
      <x:c r="E27" s="18" t="str">
        <x:v>Madness</x:v>
      </x:c>
      <x:c r="F27" s="18" t="n">
        <x:v>1</x:v>
      </x:c>
      <x:c r="G27" s="18" t="str">
        <x:v>技能</x:v>
      </x:c>
      <x:c r="H27" s="18" t="str">
        <x:v>随机使1张手牌在本场战斗中费用变为0。消耗。</x:v>
      </x:c>
      <x:c r="I27" s="18" t="str">
        <x:v>复用成熟结构，并按Winterfort现行词条与数值口径执行。</x:v>
      </x:c>
      <x:c r="J27" s="18" t="str">
        <x:v>永久战斗内减费，可能形成无限。</x:v>
      </x:c>
      <x:c r="K27" s="22" t="str">
        <x:v>优先压测</x:v>
      </x:c>
      <x:c r="L27" s="18" t="str">
        <x:v>普通无色池</x:v>
      </x:c>
      <x:c r="M27" s="21" t="str">
        <x:v>评审通过</x:v>
      </x:c>
      <x:c r="N27" s="18" t="str"/>
    </x:row>
    <x:row r="28" ht="46.5" customHeight="1">
      <x:c r="A28" s="19" t="str">
        <x:v>NC027</x:v>
      </x:c>
      <x:c r="B28" s="19" t="str">
        <x:v>心灵震爆</x:v>
      </x:c>
      <x:c r="C28" s="23" t="str">
        <x:v>蓝</x:v>
      </x:c>
      <x:c r="D28" s="19" t="str">
        <x:v>尖塔结构转译</x:v>
      </x:c>
      <x:c r="E28" s="19" t="str">
        <x:v>Mind Blast</x:v>
      </x:c>
      <x:c r="F28" s="19" t="n">
        <x:v>2</x:v>
      </x:c>
      <x:c r="G28" s="19" t="str">
        <x:v>伤害</x:v>
      </x:c>
      <x:c r="H28" s="19" t="str">
        <x:v>固有。造成X点伤害（X=抽牌堆牌数）。</x:v>
      </x:c>
      <x:c r="I28" s="19" t="str">
        <x:v>复用成熟结构，并按Winterfort现行词条与数值口径执行。</x:v>
      </x:c>
      <x:c r="J28" s="19" t="str">
        <x:v>大牌组第一次循环的奖励。</x:v>
      </x:c>
      <x:c r="K28" s="21" t="str">
        <x:v>常规</x:v>
      </x:c>
      <x:c r="L28" s="19" t="str">
        <x:v>普通无色池</x:v>
      </x:c>
      <x:c r="M28" s="21" t="str">
        <x:v>评审通过</x:v>
      </x:c>
      <x:c r="N28" s="19" t="str"/>
    </x:row>
    <x:row r="29" ht="46.5" customHeight="1">
      <x:c r="A29" s="18" t="str">
        <x:v>NC028</x:v>
      </x:c>
      <x:c r="B29" s="18" t="str">
        <x:v>万灵药</x:v>
      </x:c>
      <x:c r="C29" s="23" t="str">
        <x:v>蓝</x:v>
      </x:c>
      <x:c r="D29" s="18" t="str">
        <x:v>尖塔结构转译</x:v>
      </x:c>
      <x:c r="E29" s="18" t="str">
        <x:v>Panacea</x:v>
      </x:c>
      <x:c r="F29" s="18" t="n">
        <x:v>0</x:v>
      </x:c>
      <x:c r="G29" s="18" t="str">
        <x:v>技能</x:v>
      </x:c>
      <x:c r="H29" s="18" t="str">
        <x:v>获得1层抵御。消耗。</x:v>
      </x:c>
      <x:c r="I29" s="18" t="str">
        <x:v>复用成熟结构，并按Winterfort现行词条与数值口径执行。</x:v>
      </x:c>
      <x:c r="J29" s="18" t="str">
        <x:v>引入通用负面状态防护。</x:v>
      </x:c>
      <x:c r="K29" s="21" t="str">
        <x:v>常规</x:v>
      </x:c>
      <x:c r="L29" s="18" t="str">
        <x:v>普通无色池</x:v>
      </x:c>
      <x:c r="M29" s="21" t="str">
        <x:v>评审通过</x:v>
      </x:c>
      <x:c r="N29" s="18" t="str"/>
    </x:row>
    <x:row r="30" ht="46.5" customHeight="1">
      <x:c r="A30" s="19" t="str">
        <x:v>NC029</x:v>
      </x:c>
      <x:c r="B30" s="19" t="str">
        <x:v>应急按钮</x:v>
      </x:c>
      <x:c r="C30" s="23" t="str">
        <x:v>蓝</x:v>
      </x:c>
      <x:c r="D30" s="19" t="str">
        <x:v>尖塔结构转译</x:v>
      </x:c>
      <x:c r="E30" s="19" t="str">
        <x:v>Panic Button</x:v>
      </x:c>
      <x:c r="F30" s="19" t="n">
        <x:v>0</x:v>
      </x:c>
      <x:c r="G30" s="19" t="str">
        <x:v>技能</x:v>
      </x:c>
      <x:c r="H30" s="19" t="str">
        <x:v>获得30点护盾。接下来2回合不能获得护盾。消耗。</x:v>
      </x:c>
      <x:c r="I30" s="19" t="str">
        <x:v>复用成熟结构，并按Winterfort现行词条与数值口径执行。</x:v>
      </x:c>
      <x:c r="J30" s="19" t="str">
        <x:v>极端当前防御换未来债务。</x:v>
      </x:c>
      <x:c r="K30" s="22" t="str">
        <x:v>优先压测</x:v>
      </x:c>
      <x:c r="L30" s="19" t="str">
        <x:v>普通无色池</x:v>
      </x:c>
      <x:c r="M30" s="21" t="str">
        <x:v>评审通过</x:v>
      </x:c>
      <x:c r="N30" s="19" t="str"/>
    </x:row>
    <x:row r="31" ht="46.5" customHeight="1">
      <x:c r="A31" s="18" t="str">
        <x:v>NC030</x:v>
      </x:c>
      <x:c r="B31" s="18" t="str">
        <x:v>纯净</x:v>
      </x:c>
      <x:c r="C31" s="23" t="str">
        <x:v>蓝</x:v>
      </x:c>
      <x:c r="D31" s="18" t="str">
        <x:v>尖塔结构转译</x:v>
      </x:c>
      <x:c r="E31" s="18" t="str">
        <x:v>Purity</x:v>
      </x:c>
      <x:c r="F31" s="18" t="n">
        <x:v>0</x:v>
      </x:c>
      <x:c r="G31" s="18" t="str">
        <x:v>技能</x:v>
      </x:c>
      <x:c r="H31" s="18" t="str">
        <x:v>消耗最多3张手牌。消耗。</x:v>
      </x:c>
      <x:c r="I31" s="18" t="str">
        <x:v>复用成熟结构，并按Winterfort现行词条与数值口径执行。</x:v>
      </x:c>
      <x:c r="J31" s="18" t="str">
        <x:v>通用压缩工具，会自然与火系联动。</x:v>
      </x:c>
      <x:c r="K31" s="21" t="str">
        <x:v>常规</x:v>
      </x:c>
      <x:c r="L31" s="18" t="str">
        <x:v>普通无色池</x:v>
      </x:c>
      <x:c r="M31" s="21" t="str">
        <x:v>评审通过</x:v>
      </x:c>
      <x:c r="N31" s="18" t="str"/>
    </x:row>
    <x:row r="32" ht="46.5" customHeight="1">
      <x:c r="A32" s="19" t="str">
        <x:v>NC031</x:v>
      </x:c>
      <x:c r="B32" s="19" t="str">
        <x:v>迅捷打击</x:v>
      </x:c>
      <x:c r="C32" s="23" t="str">
        <x:v>蓝</x:v>
      </x:c>
      <x:c r="D32" s="19" t="str">
        <x:v>尖塔结构转译</x:v>
      </x:c>
      <x:c r="E32" s="19" t="str">
        <x:v>Swift Strike</x:v>
      </x:c>
      <x:c r="F32" s="19" t="n">
        <x:v>0</x:v>
      </x:c>
      <x:c r="G32" s="19" t="str">
        <x:v>伤害</x:v>
      </x:c>
      <x:c r="H32" s="19" t="str">
        <x:v>造成7点伤害。</x:v>
      </x:c>
      <x:c r="I32" s="19" t="str">
        <x:v>复用成熟结构，并按Winterfort现行词条与数值口径执行。</x:v>
      </x:c>
      <x:c r="J32" s="19" t="str">
        <x:v>简单高质量过渡攻击。</x:v>
      </x:c>
      <x:c r="K32" s="21" t="str">
        <x:v>常规</x:v>
      </x:c>
      <x:c r="L32" s="19" t="str">
        <x:v>普通无色池</x:v>
      </x:c>
      <x:c r="M32" s="21" t="str">
        <x:v>评审通过</x:v>
      </x:c>
      <x:c r="N32" s="19" t="str"/>
    </x:row>
    <x:row r="33" ht="46.5" customHeight="1">
      <x:c r="A33" s="18" t="str">
        <x:v>NC033</x:v>
      </x:c>
      <x:c r="B33" s="18" t="str">
        <x:v>神化</x:v>
      </x:c>
      <x:c r="C33" s="24" t="str">
        <x:v>金</x:v>
      </x:c>
      <x:c r="D33" s="18" t="str">
        <x:v>尖塔结构转译</x:v>
      </x:c>
      <x:c r="E33" s="18" t="str">
        <x:v>Apotheosis</x:v>
      </x:c>
      <x:c r="F33" s="18" t="n">
        <x:v>2</x:v>
      </x:c>
      <x:c r="G33" s="18" t="str">
        <x:v>技能</x:v>
      </x:c>
      <x:c r="H33" s="18" t="str">
        <x:v>本场战斗中，升级牌组中的所有牌。消耗。</x:v>
      </x:c>
      <x:c r="I33" s="18" t="str">
        <x:v>复用成熟结构，并按Winterfort现行词条与数值口径执行。</x:v>
      </x:c>
      <x:c r="J33" s="18" t="str">
        <x:v>牌组级强化，不能被普通生成高频获得。</x:v>
      </x:c>
      <x:c r="K33" s="21" t="str">
        <x:v>常规</x:v>
      </x:c>
      <x:c r="L33" s="18" t="str">
        <x:v>普通无色池</x:v>
      </x:c>
      <x:c r="M33" s="21" t="str">
        <x:v>评审通过</x:v>
      </x:c>
      <x:c r="N33" s="18" t="str"/>
    </x:row>
    <x:row r="34" ht="46.5" customHeight="1">
      <x:c r="A34" s="19" t="str">
        <x:v>NC034</x:v>
      </x:c>
      <x:c r="B34" s="19" t="str">
        <x:v>技能茧</x:v>
      </x:c>
      <x:c r="C34" s="24" t="str">
        <x:v>金</x:v>
      </x:c>
      <x:c r="D34" s="19" t="str">
        <x:v>尖塔结构转译</x:v>
      </x:c>
      <x:c r="E34" s="19" t="str">
        <x:v>Chrysalis</x:v>
      </x:c>
      <x:c r="F34" s="19" t="n">
        <x:v>2</x:v>
      </x:c>
      <x:c r="G34" s="19" t="str">
        <x:v>技能</x:v>
      </x:c>
      <x:c r="H34" s="19" t="str">
        <x:v>随机生成3张技能牌加入手牌；它们在本场战斗中费用变为0。消耗。</x:v>
      </x:c>
      <x:c r="I34" s="19" t="str">
        <x:v>复用成熟结构，并按Winterfort现行词条与数值口径执行。</x:v>
      </x:c>
      <x:c r="J34" s="19" t="str">
        <x:v>光系生成能力会显著放大此牌。</x:v>
      </x:c>
      <x:c r="K34" s="22" t="str">
        <x:v>优先压测</x:v>
      </x:c>
      <x:c r="L34" s="19" t="str">
        <x:v>普通无色池</x:v>
      </x:c>
      <x:c r="M34" s="21" t="str">
        <x:v>评审通过</x:v>
      </x:c>
      <x:c r="N34" s="19" t="str"/>
    </x:row>
    <x:row r="35" ht="46.5" customHeight="1">
      <x:c r="A35" s="18" t="str">
        <x:v>NC035</x:v>
      </x:c>
      <x:c r="B35" s="18" t="str">
        <x:v>贪婪之手</x:v>
      </x:c>
      <x:c r="C35" s="24" t="str">
        <x:v>金</x:v>
      </x:c>
      <x:c r="D35" s="18" t="str">
        <x:v>尖塔结构转译</x:v>
      </x:c>
      <x:c r="E35" s="18" t="str">
        <x:v>Hand of Greed</x:v>
      </x:c>
      <x:c r="F35" s="18" t="n">
        <x:v>2</x:v>
      </x:c>
      <x:c r="G35" s="18" t="str">
        <x:v>伤害</x:v>
      </x:c>
      <x:c r="H35" s="18" t="str">
        <x:v>造成20点伤害。若消灭目标，获得20金币。</x:v>
      </x:c>
      <x:c r="I35" s="18" t="str">
        <x:v>复用成熟结构，并按Winterfort现行词条与数值口径执行。</x:v>
      </x:c>
      <x:c r="J35" s="18" t="str">
        <x:v>与草系猎获自然联动，但本身保持无色。</x:v>
      </x:c>
      <x:c r="K35" s="21" t="str">
        <x:v>常规</x:v>
      </x:c>
      <x:c r="L35" s="18" t="str">
        <x:v>普通无色池</x:v>
      </x:c>
      <x:c r="M35" s="21" t="str">
        <x:v>评审通过</x:v>
      </x:c>
      <x:c r="N35" s="18" t="str"/>
    </x:row>
    <x:row r="36" ht="46.5" customHeight="1">
      <x:c r="A36" s="19" t="str">
        <x:v>NC036</x:v>
      </x:c>
      <x:c r="B36" s="19" t="str">
        <x:v>磁力</x:v>
      </x:c>
      <x:c r="C36" s="24" t="str">
        <x:v>金</x:v>
      </x:c>
      <x:c r="D36" s="19" t="str">
        <x:v>尖塔结构转译</x:v>
      </x:c>
      <x:c r="E36" s="19" t="str">
        <x:v>Magnetism</x:v>
      </x:c>
      <x:c r="F36" s="19" t="n">
        <x:v>2</x:v>
      </x:c>
      <x:c r="G36" s="19" t="str">
        <x:v>能力</x:v>
      </x:c>
      <x:c r="H36" s="19" t="str">
        <x:v>本场战斗中，每回合开始时随机生成1张无色牌加入手牌。消耗。</x:v>
      </x:c>
      <x:c r="I36" s="19" t="str">
        <x:v>复用成熟结构，并按Winterfort现行词条与数值口径执行。</x:v>
      </x:c>
      <x:c r="J36" s="19" t="str">
        <x:v>无色生成核心，方差与递归上限都高。</x:v>
      </x:c>
      <x:c r="K36" s="22" t="str">
        <x:v>优先压测</x:v>
      </x:c>
      <x:c r="L36" s="19" t="str">
        <x:v>普通无色池</x:v>
      </x:c>
      <x:c r="M36" s="21" t="str">
        <x:v>评审通过</x:v>
      </x:c>
      <x:c r="N36" s="19" t="str"/>
    </x:row>
    <x:row r="37" ht="46.5" customHeight="1">
      <x:c r="A37" s="18" t="str">
        <x:v>NC037</x:v>
      </x:c>
      <x:c r="B37" s="18" t="str">
        <x:v>大师谋略</x:v>
      </x:c>
      <x:c r="C37" s="24" t="str">
        <x:v>金</x:v>
      </x:c>
      <x:c r="D37" s="18" t="str">
        <x:v>尖塔结构转译</x:v>
      </x:c>
      <x:c r="E37" s="18" t="str">
        <x:v>Master of Strategy</x:v>
      </x:c>
      <x:c r="F37" s="18" t="n">
        <x:v>0</x:v>
      </x:c>
      <x:c r="G37" s="18" t="str">
        <x:v>技能</x:v>
      </x:c>
      <x:c r="H37" s="18" t="str">
        <x:v>抽3张牌。消耗。</x:v>
      </x:c>
      <x:c r="I37" s="18" t="str">
        <x:v>复用成熟结构，并按Winterfort现行词条与数值口径执行。</x:v>
      </x:c>
      <x:c r="J37" s="18" t="str">
        <x:v>最纯粹的一次性爆发过牌。</x:v>
      </x:c>
      <x:c r="K37" s="21" t="str">
        <x:v>常规</x:v>
      </x:c>
      <x:c r="L37" s="18" t="str">
        <x:v>普通无色池</x:v>
      </x:c>
      <x:c r="M37" s="21" t="str">
        <x:v>评审通过</x:v>
      </x:c>
      <x:c r="N37" s="18" t="str"/>
    </x:row>
    <x:row r="38" ht="46.5" customHeight="1">
      <x:c r="A38" s="19" t="str">
        <x:v>NC038</x:v>
      </x:c>
      <x:c r="B38" s="19" t="str">
        <x:v>混乱法则</x:v>
      </x:c>
      <x:c r="C38" s="24" t="str">
        <x:v>金</x:v>
      </x:c>
      <x:c r="D38" s="19" t="str">
        <x:v>尖塔结构转译</x:v>
      </x:c>
      <x:c r="E38" s="19" t="str">
        <x:v>Mayhem</x:v>
      </x:c>
      <x:c r="F38" s="19" t="n">
        <x:v>2</x:v>
      </x:c>
      <x:c r="G38" s="19" t="str">
        <x:v>能力</x:v>
      </x:c>
      <x:c r="H38" s="19" t="str">
        <x:v>本场战斗中，每回合开始时免费打出抽牌堆顶1张可打出的牌。消耗。</x:v>
      </x:c>
      <x:c r="I38" s="19" t="str">
        <x:v>复用成熟结构，并按Winterfort现行词条与数值口径执行。</x:v>
      </x:c>
      <x:c r="J38" s="19" t="str">
        <x:v>需处理目标、X费与不可打出牌。</x:v>
      </x:c>
      <x:c r="K38" s="22" t="str">
        <x:v>优先压测</x:v>
      </x:c>
      <x:c r="L38" s="19" t="str">
        <x:v>普通无色池</x:v>
      </x:c>
      <x:c r="M38" s="21" t="str">
        <x:v>评审通过</x:v>
      </x:c>
      <x:c r="N38" s="19" t="str"/>
    </x:row>
    <x:row r="39" ht="46.5" customHeight="1">
      <x:c r="A39" s="18" t="str">
        <x:v>NC039</x:v>
      </x:c>
      <x:c r="B39" s="18" t="str">
        <x:v>攻击蜕变</x:v>
      </x:c>
      <x:c r="C39" s="24" t="str">
        <x:v>金</x:v>
      </x:c>
      <x:c r="D39" s="18" t="str">
        <x:v>尖塔结构转译</x:v>
      </x:c>
      <x:c r="E39" s="18" t="str">
        <x:v>Metamorphosis</x:v>
      </x:c>
      <x:c r="F39" s="18" t="n">
        <x:v>2</x:v>
      </x:c>
      <x:c r="G39" s="18" t="str">
        <x:v>技能</x:v>
      </x:c>
      <x:c r="H39" s="18" t="str">
        <x:v>随机生成3张伤害牌加入手牌；它们在本场战斗中费用变为0。消耗。</x:v>
      </x:c>
      <x:c r="I39" s="18" t="str">
        <x:v>复用成熟结构，并按Winterfort现行词条与数值口径执行。</x:v>
      </x:c>
      <x:c r="J39" s="18" t="str">
        <x:v>与技能茧形成类型对照。</x:v>
      </x:c>
      <x:c r="K39" s="21" t="str">
        <x:v>常规</x:v>
      </x:c>
      <x:c r="L39" s="18" t="str">
        <x:v>普通无色池</x:v>
      </x:c>
      <x:c r="M39" s="21" t="str">
        <x:v>评审通过</x:v>
      </x:c>
      <x:c r="N39" s="18" t="str"/>
    </x:row>
    <x:row r="40" ht="46.5" customHeight="1">
      <x:c r="A40" s="19" t="str">
        <x:v>NC040</x:v>
      </x:c>
      <x:c r="B40" s="19" t="str">
        <x:v>五拍</x:v>
      </x:c>
      <x:c r="C40" s="24" t="str">
        <x:v>金</x:v>
      </x:c>
      <x:c r="D40" s="19" t="str">
        <x:v>尖塔结构转译</x:v>
      </x:c>
      <x:c r="E40" s="19" t="str">
        <x:v>Panache</x:v>
      </x:c>
      <x:c r="F40" s="19" t="n">
        <x:v>0</x:v>
      </x:c>
      <x:c r="G40" s="19" t="str">
        <x:v>能力</x:v>
      </x:c>
      <x:c r="H40" s="19" t="str">
        <x:v>本场战斗中，每打出5张牌，对敌方全体造成10点伤害。消耗。</x:v>
      </x:c>
      <x:c r="I40" s="19" t="str">
        <x:v>复用成熟结构，并按Winterfort现行词条与数值口径执行。</x:v>
      </x:c>
      <x:c r="J40" s="19" t="str">
        <x:v>火系连击与光羽会自然受益。</x:v>
      </x:c>
      <x:c r="K40" s="22" t="str">
        <x:v>优先压测</x:v>
      </x:c>
      <x:c r="L40" s="19" t="str">
        <x:v>普通无色池</x:v>
      </x:c>
      <x:c r="M40" s="21" t="str">
        <x:v>评审通过</x:v>
      </x:c>
      <x:c r="N40" s="19" t="str"/>
    </x:row>
    <x:row r="41" ht="46.5" customHeight="1">
      <x:c r="A41" s="18" t="str">
        <x:v>NC041</x:v>
      </x:c>
      <x:c r="B41" s="18" t="str">
        <x:v>苦果</x:v>
      </x:c>
      <x:c r="C41" s="24" t="str">
        <x:v>金</x:v>
      </x:c>
      <x:c r="D41" s="18" t="str">
        <x:v>尖塔结构转译</x:v>
      </x:c>
      <x:c r="E41" s="18" t="str">
        <x:v>Sadistic Nature</x:v>
      </x:c>
      <x:c r="F41" s="18" t="n">
        <x:v>0</x:v>
      </x:c>
      <x:c r="G41" s="18" t="str">
        <x:v>能力</x:v>
      </x:c>
      <x:c r="H41" s="18" t="str">
        <x:v>本场战斗中，每当对敌人施加负面状态时，对其造成5点伤害。消耗。</x:v>
      </x:c>
      <x:c r="I41" s="18" t="str">
        <x:v>复用成熟结构，并按Winterfort现行词条与数值口径执行。</x:v>
      </x:c>
      <x:c r="J41" s="18" t="str">
        <x:v>灼伤、中毒与虚弱都会放大，风险极高。</x:v>
      </x:c>
      <x:c r="K41" s="22" t="str">
        <x:v>优先压测</x:v>
      </x:c>
      <x:c r="L41" s="18" t="str">
        <x:v>普通无色池</x:v>
      </x:c>
      <x:c r="M41" s="21" t="str">
        <x:v>评审通过</x:v>
      </x:c>
      <x:c r="N41" s="18" t="str"/>
    </x:row>
    <x:row r="42" ht="46.5" customHeight="1">
      <x:c r="A42" s="19" t="str">
        <x:v>NC042</x:v>
      </x:c>
      <x:c r="B42" s="19" t="str">
        <x:v>秘密技法</x:v>
      </x:c>
      <x:c r="C42" s="24" t="str">
        <x:v>金</x:v>
      </x:c>
      <x:c r="D42" s="19" t="str">
        <x:v>尖塔结构转译</x:v>
      </x:c>
      <x:c r="E42" s="19" t="str">
        <x:v>Secret Technique</x:v>
      </x:c>
      <x:c r="F42" s="19" t="n">
        <x:v>0</x:v>
      </x:c>
      <x:c r="G42" s="19" t="str">
        <x:v>技能</x:v>
      </x:c>
      <x:c r="H42" s="19" t="str">
        <x:v>从抽牌堆选择1张技能牌加入手牌。消耗。</x:v>
      </x:c>
      <x:c r="I42" s="19" t="str">
        <x:v>复用成熟结构，并按Winterfort现行词条与数值口径执行。</x:v>
      </x:c>
      <x:c r="J42" s="19" t="str">
        <x:v>精确技能检索。</x:v>
      </x:c>
      <x:c r="K42" s="21" t="str">
        <x:v>常规</x:v>
      </x:c>
      <x:c r="L42" s="19" t="str">
        <x:v>普通无色池</x:v>
      </x:c>
      <x:c r="M42" s="21" t="str">
        <x:v>评审通过</x:v>
      </x:c>
      <x:c r="N42" s="19" t="str"/>
    </x:row>
    <x:row r="43" ht="46.5" customHeight="1">
      <x:c r="A43" s="18" t="str">
        <x:v>NC043</x:v>
      </x:c>
      <x:c r="B43" s="18" t="str">
        <x:v>秘密武器</x:v>
      </x:c>
      <x:c r="C43" s="24" t="str">
        <x:v>金</x:v>
      </x:c>
      <x:c r="D43" s="18" t="str">
        <x:v>尖塔结构转译</x:v>
      </x:c>
      <x:c r="E43" s="18" t="str">
        <x:v>Secret Weapon</x:v>
      </x:c>
      <x:c r="F43" s="18" t="n">
        <x:v>0</x:v>
      </x:c>
      <x:c r="G43" s="18" t="str">
        <x:v>技能</x:v>
      </x:c>
      <x:c r="H43" s="18" t="str">
        <x:v>从抽牌堆选择1张伤害牌加入手牌。消耗。</x:v>
      </x:c>
      <x:c r="I43" s="18" t="str">
        <x:v>复用成熟结构，并按Winterfort现行词条与数值口径执行。</x:v>
      </x:c>
      <x:c r="J43" s="18" t="str">
        <x:v>精确攻击检索。</x:v>
      </x:c>
      <x:c r="K43" s="21" t="str">
        <x:v>常规</x:v>
      </x:c>
      <x:c r="L43" s="18" t="str">
        <x:v>普通无色池</x:v>
      </x:c>
      <x:c r="M43" s="21" t="str">
        <x:v>评审通过</x:v>
      </x:c>
      <x:c r="N43" s="18" t="str"/>
    </x:row>
    <x:row r="44" ht="46.5" customHeight="1">
      <x:c r="A44" s="19" t="str">
        <x:v>NC044</x:v>
      </x:c>
      <x:c r="B44" s="19" t="str">
        <x:v>定时爆弹</x:v>
      </x:c>
      <x:c r="C44" s="24" t="str">
        <x:v>金</x:v>
      </x:c>
      <x:c r="D44" s="19" t="str">
        <x:v>尖塔结构转译</x:v>
      </x:c>
      <x:c r="E44" s="19" t="str">
        <x:v>The Bomb</x:v>
      </x:c>
      <x:c r="F44" s="19" t="n">
        <x:v>2</x:v>
      </x:c>
      <x:c r="G44" s="19" t="str">
        <x:v>技能</x:v>
      </x:c>
      <x:c r="H44" s="19" t="str">
        <x:v>3回合后，对敌方全体造成40点伤害。</x:v>
      </x:c>
      <x:c r="I44" s="19" t="str">
        <x:v>复用成熟结构，并按Winterfort现行词条与数值口径执行。</x:v>
      </x:c>
      <x:c r="J44" s="19" t="str">
        <x:v>不使用蓄力关键词；作为独立倒计时。</x:v>
      </x:c>
      <x:c r="K44" s="21" t="str">
        <x:v>常规</x:v>
      </x:c>
      <x:c r="L44" s="19" t="str">
        <x:v>普通无色池</x:v>
      </x:c>
      <x:c r="M44" s="21" t="str">
        <x:v>评审通过</x:v>
      </x:c>
      <x:c r="N44" s="19" t="str"/>
    </x:row>
    <x:row r="45" ht="46.5" customHeight="1">
      <x:c r="A45" s="18" t="str">
        <x:v>NC045</x:v>
      </x:c>
      <x:c r="B45" s="18" t="str">
        <x:v>先想一步</x:v>
      </x:c>
      <x:c r="C45" s="24" t="str">
        <x:v>金</x:v>
      </x:c>
      <x:c r="D45" s="18" t="str">
        <x:v>尖塔结构转译</x:v>
      </x:c>
      <x:c r="E45" s="18" t="str">
        <x:v>Thinking Ahead</x:v>
      </x:c>
      <x:c r="F45" s="18" t="n">
        <x:v>0</x:v>
      </x:c>
      <x:c r="G45" s="18" t="str">
        <x:v>技能</x:v>
      </x:c>
      <x:c r="H45" s="18" t="str">
        <x:v>抽2张牌。将1张手牌置于抽牌堆顶。消耗。</x:v>
      </x:c>
      <x:c r="I45" s="18" t="str">
        <x:v>复用成熟结构，并按Winterfort现行词条与数值口径执行。</x:v>
      </x:c>
      <x:c r="J45" s="18" t="str">
        <x:v>高质量牌序工具。</x:v>
      </x:c>
      <x:c r="K45" s="21" t="str">
        <x:v>常规</x:v>
      </x:c>
      <x:c r="L45" s="18" t="str">
        <x:v>普通无色池</x:v>
      </x:c>
      <x:c r="M45" s="21" t="str">
        <x:v>评审通过</x:v>
      </x:c>
      <x:c r="N45" s="18" t="str"/>
    </x:row>
    <x:row r="46" ht="46.5" customHeight="1">
      <x:c r="A46" s="19" t="str">
        <x:v>NC046</x:v>
      </x:c>
      <x:c r="B46" s="19" t="str">
        <x:v>无色转化</x:v>
      </x:c>
      <x:c r="C46" s="24" t="str">
        <x:v>金</x:v>
      </x:c>
      <x:c r="D46" s="19" t="str">
        <x:v>尖塔结构转译</x:v>
      </x:c>
      <x:c r="E46" s="19" t="str">
        <x:v>Transmutation</x:v>
      </x:c>
      <x:c r="F46" s="19" t="str">
        <x:v>X</x:v>
      </x:c>
      <x:c r="G46" s="19" t="str">
        <x:v>技能</x:v>
      </x:c>
      <x:c r="H46" s="19" t="str">
        <x:v>消耗所有能量。随机生成X张无色牌加入手牌，它们的费用在本回合降为0。消耗。</x:v>
      </x:c>
      <x:c r="I46" s="19" t="str">
        <x:v>复用成熟结构，并按Winterfort现行词条与数值口径执行。</x:v>
      </x:c>
      <x:c r="J46" s="19" t="str">
        <x:v>同时支持水系X费和光系生成牌。</x:v>
      </x:c>
      <x:c r="K46" s="22" t="str">
        <x:v>优先压测</x:v>
      </x:c>
      <x:c r="L46" s="19" t="str">
        <x:v>普通无色池</x:v>
      </x:c>
      <x:c r="M46" s="21" t="str">
        <x:v>评审通过</x:v>
      </x:c>
      <x:c r="N46" s="19" t="str"/>
    </x:row>
    <x:row r="47" ht="46.5" customHeight="1">
      <x:c r="A47" s="18" t="str">
        <x:v>NC047</x:v>
      </x:c>
      <x:c r="B47" s="18" t="str">
        <x:v>暴力搜寻</x:v>
      </x:c>
      <x:c r="C47" s="24" t="str">
        <x:v>金</x:v>
      </x:c>
      <x:c r="D47" s="18" t="str">
        <x:v>尖塔结构转译</x:v>
      </x:c>
      <x:c r="E47" s="18" t="str">
        <x:v>Violence</x:v>
      </x:c>
      <x:c r="F47" s="18" t="n">
        <x:v>0</x:v>
      </x:c>
      <x:c r="G47" s="18" t="str">
        <x:v>技能</x:v>
      </x:c>
      <x:c r="H47" s="18" t="str">
        <x:v>从抽牌堆随机将3张伤害牌加入手牌。消耗。</x:v>
      </x:c>
      <x:c r="I47" s="18" t="str">
        <x:v>复用成熟结构，并按Winterfort现行词条与数值口径执行。</x:v>
      </x:c>
      <x:c r="J47" s="18" t="str">
        <x:v>随机攻击检索，不能越过手牌上限。</x:v>
      </x:c>
      <x:c r="K47" s="21" t="str">
        <x:v>常规</x:v>
      </x:c>
      <x:c r="L47" s="18" t="str">
        <x:v>普通无色池</x:v>
      </x:c>
      <x:c r="M47" s="21" t="str">
        <x:v>评审通过</x:v>
      </x:c>
      <x:c r="N47" s="18" t="str"/>
    </x:row>
  </x:sheetData>
  <x:mergeCells>
    <x:mergeCell ref="A1:N1"/>
    <x:mergeCell ref="A2:N2"/>
  </x:mergeCells>
  <x:dataValidations count="1">
    <x:dataValidation type="list" sqref="M5:M47">
      <x:formula1>"评审通过,修改,删除,待定"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109999656677246" hidden="0" customWidth="1"/>
    <x:col min="2" max="2" width="10.220000267028809" hidden="0" customWidth="1"/>
    <x:col min="3" max="3" width="46.66999816894531" hidden="0" customWidth="1"/>
    <x:col min="4" max="4" width="47.779998779296875" hidden="0" customWidth="1"/>
    <x:col min="5" max="5" width="8.670000076293945" hidden="0" customWidth="1"/>
    <x:col min="6" max="6" width="4.440000057220459" hidden="0" customWidth="1"/>
    <x:col min="7" max="7" width="9.779999732971191" hidden="0" customWidth="1"/>
    <x:col min="8" max="8" width="9.109999656677246" hidden="0" customWidth="1"/>
  </x:cols>
  <x:sheetData>
    <x:row r="1" ht="25.5" customHeight="1">
      <x:c r="A1" s="3" t="str">
        <x:v>无色卡池总览 | 数量与风险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所有数量均由“无色卡池”公式汇总。0费牌占比是本池首轮最需要关注的系统指标。</x:v>
      </x:c>
      <x:c r="B2" s="7"/>
      <x:c r="C2" s="7"/>
      <x:c r="D2" s="7"/>
      <x:c r="E2" s="7"/>
      <x:c r="F2" s="7"/>
      <x:c r="G2" s="7"/>
      <x:c r="H2" s="7"/>
    </x:row>
    <x:row r="4" ht="25.5" customHeight="1">
      <x:c r="A4" s="13" t="str">
        <x:v>稀有度</x:v>
      </x:c>
      <x:c r="B4" s="13" t="str">
        <x:v>数量</x:v>
      </x:c>
      <x:c r="D4" s="13" t="str">
        <x:v>卡牌类型</x:v>
      </x:c>
      <x:c r="E4" s="13" t="str">
        <x:v>数量</x:v>
      </x:c>
      <x:c r="G4" s="13" t="str">
        <x:v>费用</x:v>
      </x:c>
      <x:c r="H4" s="13" t="str">
        <x:v>数量</x:v>
      </x:c>
    </x:row>
    <x:row r="5">
      <x:c r="A5" s="18" t="str">
        <x:v>白</x:v>
      </x:c>
      <x:c r="B5" s="18" t="n">
        <x:f>COUNTIF('无色卡池'!$C$5:$C$47,A5)</x:f>
        <x:v>9</x:v>
      </x:c>
      <x:c r="D5" s="18" t="str">
        <x:v>技能</x:v>
      </x:c>
      <x:c r="E5" s="18" t="n">
        <x:f>COUNTIF('无色卡池'!$G$5:$G$47,D5)</x:f>
        <x:v>33</x:v>
      </x:c>
      <x:c r="G5" s="18" t="n">
        <x:v>0</x:v>
      </x:c>
      <x:c r="H5" s="18" t="n">
        <x:f>COUNTIF('无色卡池'!$F$5:$F$47,G5)</x:f>
        <x:v>27</x:v>
      </x:c>
    </x:row>
    <x:row r="6">
      <x:c r="A6" s="18" t="str">
        <x:v>蓝</x:v>
      </x:c>
      <x:c r="B6" s="18" t="n">
        <x:f>COUNTIF('无色卡池'!$C$5:$C$47,A6)</x:f>
        <x:v>19</x:v>
      </x:c>
      <x:c r="D6" s="18" t="str">
        <x:v>伤害</x:v>
      </x:c>
      <x:c r="E6" s="18" t="n">
        <x:f>COUNTIF('无色卡池'!$G$5:$G$47,D6)</x:f>
        <x:v>6</x:v>
      </x:c>
      <x:c r="G6" s="18" t="n">
        <x:v>1</x:v>
      </x:c>
      <x:c r="H6" s="18" t="n">
        <x:f>COUNTIF('无色卡池'!$F$5:$F$47,G6)</x:f>
        <x:v>7</x:v>
      </x:c>
    </x:row>
    <x:row r="7">
      <x:c r="A7" s="18" t="str">
        <x:v>金</x:v>
      </x:c>
      <x:c r="B7" s="18" t="n">
        <x:f>COUNTIF('无色卡池'!$C$5:$C$47,A7)</x:f>
        <x:v>15</x:v>
      </x:c>
      <x:c r="D7" s="18" t="str">
        <x:v>能力</x:v>
      </x:c>
      <x:c r="E7" s="18" t="n">
        <x:f>COUNTIF('无色卡池'!$G$5:$G$47,D7)</x:f>
        <x:v>4</x:v>
      </x:c>
      <x:c r="G7" s="18" t="n">
        <x:v>2</x:v>
      </x:c>
      <x:c r="H7" s="18" t="n">
        <x:f>COUNTIF('无色卡池'!$F$5:$F$47,G7)</x:f>
        <x:v>8</x:v>
      </x:c>
    </x:row>
    <x:row r="8">
      <x:c r="A8" s="18" t="str">
        <x:v>合计</x:v>
      </x:c>
      <x:c r="B8" s="18" t="n">
        <x:f>SUM(B5:B7)</x:f>
        <x:v>43</x:v>
      </x:c>
      <x:c r="D8" s="18" t="str">
        <x:v>合计</x:v>
      </x:c>
      <x:c r="E8" s="18" t="n">
        <x:f>SUM(E5:E7)</x:f>
        <x:v>43</x:v>
      </x:c>
      <x:c r="G8" s="18" t="str">
        <x:v>X</x:v>
      </x:c>
      <x:c r="H8" s="18" t="n">
        <x:f>COUNTIF('无色卡池'!$F$5:$F$47,G8)</x:f>
        <x:v>1</x:v>
      </x:c>
    </x:row>
    <x:row r="9">
      <x:c r="G9" s="18" t="str">
        <x:v>合计</x:v>
      </x:c>
      <x:c r="H9" s="18" t="n">
        <x:f>SUM(H5:H8)</x:f>
        <x:v>43</x:v>
      </x:c>
    </x:row>
    <x:row r="12" ht="25.5" customHeight="1">
      <x:c r="A12" s="13" t="str">
        <x:v>关键指标</x:v>
      </x:c>
      <x:c r="B12" s="13" t="str">
        <x:v>结果</x:v>
      </x:c>
    </x:row>
    <x:row r="13">
      <x:c r="A13" s="24" t="str">
        <x:v>卡池总数</x:v>
      </x:c>
      <x:c r="B13" s="24" t="n">
        <x:f>COUNTA('无色卡池'!$A$5:$A$47)</x:f>
        <x:v>43</x:v>
      </x:c>
    </x:row>
    <x:row r="14">
      <x:c r="A14" s="24" t="str">
        <x:v>原创牌</x:v>
      </x:c>
      <x:c r="B14" s="24" t="n">
        <x:f>COUNTIF('无色卡池'!$D$5:$D$47,"原创")</x:f>
        <x:v>9</x:v>
      </x:c>
    </x:row>
    <x:row r="15">
      <x:c r="A15" s="24" t="str">
        <x:v>尖塔结构转译</x:v>
      </x:c>
      <x:c r="B15" s="24" t="n">
        <x:f>COUNTIF('无色卡池'!$D$5:$D$47,"尖塔结构转译")</x:f>
        <x:v>34</x:v>
      </x:c>
    </x:row>
    <x:row r="16">
      <x:c r="A16" s="24" t="str">
        <x:v>优先压测牌</x:v>
      </x:c>
      <x:c r="B16" s="24" t="n">
        <x:f>COUNTIF('无色卡池'!$K$5:$K$47,"优先压测")</x:f>
        <x:v>12</x:v>
      </x:c>
    </x:row>
    <x:row r="17">
      <x:c r="A17" s="24" t="str">
        <x:v>0费牌占比</x:v>
      </x:c>
      <x:c r="B17" s="30" t="n">
        <x:f>COUNTIF('无色卡池'!$F$5:$F$47,0)/B13</x:f>
        <x:v>0.627906976744186</x:v>
      </x:c>
    </x:row>
    <x:row r="19" ht="34.5" customHeight="1">
      <x:c r="A19" s="39" t="str">
        <x:v>系统提示：本池27张0费牌，占比约62.8%；需要优先压测0费抽牌、永久减费、光系生成与火系消耗之间的循环。</x:v>
      </x:c>
      <x:c r="B19" s="40"/>
      <x:c r="C19" s="40"/>
      <x:c r="D19" s="40"/>
      <x:c r="E19" s="40"/>
      <x:c r="F19" s="40"/>
      <x:c r="G19" s="40"/>
      <x:c r="H19" s="41"/>
    </x:row>
    <x:row r="21" ht="25.5" customHeight="1">
      <x:c r="A21" s="13" t="str">
        <x:v>编号</x:v>
      </x:c>
      <x:c r="B21" s="13" t="str">
        <x:v>名称</x:v>
      </x:c>
      <x:c r="C21" s="13" t="str">
        <x:v>风险入口</x:v>
      </x:c>
      <x:c r="D21" s="13" t="str">
        <x:v>优先压测原因</x:v>
      </x:c>
    </x:row>
    <x:row r="22" ht="39" customHeight="1">
      <x:c r="A22" s="19" t="str">
        <x:v>NC004</x:v>
      </x:c>
      <x:c r="B22" s="19" t="str">
        <x:v>临时许可</x:v>
      </x:c>
      <x:c r="C22" s="19" t="str">
        <x:v>本回合打出的下一张牌费用-1（最低为0）。消耗。</x:v>
      </x:c>
      <x:c r="D22" s="19" t="str">
        <x:v>0费循环</x:v>
      </x:c>
    </x:row>
    <x:row r="23" ht="39" customHeight="1">
      <x:c r="A23" s="18" t="str">
        <x:v>NC011</x:v>
      </x:c>
      <x:c r="B23" s="18" t="str">
        <x:v>风险折扣</x:v>
      </x:c>
      <x:c r="C23" s="18" t="str">
        <x:v>获得1点能量。回合结束时，若仍有未消耗的能量，对自己造成4点伤害。消耗。</x:v>
      </x:c>
      <x:c r="D23" s="18" t="str">
        <x:v>与能量保留能力联动</x:v>
      </x:c>
    </x:row>
    <x:row r="24" ht="39" customHeight="1">
      <x:c r="A24" s="19" t="str">
        <x:v>NC016</x:v>
      </x:c>
      <x:c r="B24" s="19" t="str">
        <x:v>深呼吸</x:v>
      </x:c>
      <x:c r="C24" s="19" t="str">
        <x:v>将弃牌堆洗入抽牌堆。抽1张牌。</x:v>
      </x:c>
      <x:c r="D24" s="19" t="str">
        <x:v>改变洗牌时点；会影响暗系墓场规模。</x:v>
      </x:c>
    </x:row>
    <x:row r="25" ht="39" customHeight="1">
      <x:c r="A25" s="18" t="str">
        <x:v>NC021</x:v>
      </x:c>
      <x:c r="B25" s="18" t="str">
        <x:v>钢铁闪光</x:v>
      </x:c>
      <x:c r="C25" s="18" t="str">
        <x:v>造成3点伤害。抽1张牌。</x:v>
      </x:c>
      <x:c r="D25" s="18" t="str">
        <x:v>极强循环零件，商店价格与出现率要限制。</x:v>
      </x:c>
    </x:row>
    <x:row r="26" ht="39" customHeight="1">
      <x:c r="A26" s="19" t="str">
        <x:v>NC026</x:v>
      </x:c>
      <x:c r="B26" s="19" t="str">
        <x:v>疯狂</x:v>
      </x:c>
      <x:c r="C26" s="19" t="str">
        <x:v>随机使1张手牌在本场战斗中费用变为0。消耗。</x:v>
      </x:c>
      <x:c r="D26" s="19" t="str">
        <x:v>永久战斗内减费，可能形成无限。</x:v>
      </x:c>
    </x:row>
    <x:row r="27" ht="39" customHeight="1">
      <x:c r="A27" s="18" t="str">
        <x:v>NC029</x:v>
      </x:c>
      <x:c r="B27" s="18" t="str">
        <x:v>应急按钮</x:v>
      </x:c>
      <x:c r="C27" s="18" t="str">
        <x:v>获得30点护盾。接下来2回合不能获得护盾。消耗。</x:v>
      </x:c>
      <x:c r="D27" s="18" t="str">
        <x:v>极端当前防御换未来债务。</x:v>
      </x:c>
    </x:row>
    <x:row r="28" ht="39" customHeight="1">
      <x:c r="A28" s="19" t="str">
        <x:v>NC034</x:v>
      </x:c>
      <x:c r="B28" s="19" t="str">
        <x:v>技能茧</x:v>
      </x:c>
      <x:c r="C28" s="19" t="str">
        <x:v>随机生成3张技能牌加入手牌；它们在本场战斗中费用变为0。消耗。</x:v>
      </x:c>
      <x:c r="D28" s="19" t="str">
        <x:v>光系生成能力会显著放大此牌。</x:v>
      </x:c>
    </x:row>
    <x:row r="29" ht="39" customHeight="1">
      <x:c r="A29" s="18" t="str">
        <x:v>NC036</x:v>
      </x:c>
      <x:c r="B29" s="18" t="str">
        <x:v>磁力</x:v>
      </x:c>
      <x:c r="C29" s="18" t="str">
        <x:v>本场战斗中，每回合开始时随机生成1张无色牌加入手牌。消耗。</x:v>
      </x:c>
      <x:c r="D29" s="18" t="str">
        <x:v>无色生成核心，方差与递归上限都高。</x:v>
      </x:c>
    </x:row>
    <x:row r="30" ht="39" customHeight="1">
      <x:c r="A30" s="19" t="str">
        <x:v>NC038</x:v>
      </x:c>
      <x:c r="B30" s="19" t="str">
        <x:v>混乱法则</x:v>
      </x:c>
      <x:c r="C30" s="19" t="str">
        <x:v>本场战斗中，每回合开始时免费打出抽牌堆顶1张可打出的牌。消耗。</x:v>
      </x:c>
      <x:c r="D30" s="19" t="str">
        <x:v>需处理目标、X费与不可打出牌。</x:v>
      </x:c>
    </x:row>
    <x:row r="31" ht="39" customHeight="1">
      <x:c r="A31" s="18" t="str">
        <x:v>NC040</x:v>
      </x:c>
      <x:c r="B31" s="18" t="str">
        <x:v>五拍</x:v>
      </x:c>
      <x:c r="C31" s="18" t="str">
        <x:v>本场战斗中，每打出5张牌，对敌方全体造成10点伤害。消耗。</x:v>
      </x:c>
      <x:c r="D31" s="18" t="str">
        <x:v>火系连击与光羽会自然受益。</x:v>
      </x:c>
    </x:row>
    <x:row r="32" ht="39" customHeight="1">
      <x:c r="A32" s="19" t="str">
        <x:v>NC041</x:v>
      </x:c>
      <x:c r="B32" s="19" t="str">
        <x:v>苦果</x:v>
      </x:c>
      <x:c r="C32" s="19" t="str">
        <x:v>本场战斗中，每当对敌人施加负面状态时，对其造成5点伤害。消耗。</x:v>
      </x:c>
      <x:c r="D32" s="19" t="str">
        <x:v>灼伤、中毒与虚弱都会放大，风险极高。</x:v>
      </x:c>
    </x:row>
    <x:row r="33" ht="39" customHeight="1">
      <x:c r="A33" s="18" t="str">
        <x:v>NC046</x:v>
      </x:c>
      <x:c r="B33" s="18" t="str">
        <x:v>无色转化</x:v>
      </x:c>
      <x:c r="C33" s="18" t="str">
        <x:v>消耗所有能量。随机生成X张无色牌加入手牌，它们的费用在本回合降为0。消耗。</x:v>
      </x:c>
      <x:c r="D33" s="18" t="str">
        <x:v>同时支持水系X费和光系生成牌。</x:v>
      </x:c>
    </x:row>
  </x:sheetData>
  <x:mergeCells>
    <x:mergeCell ref="A1:H1"/>
    <x:mergeCell ref="A2:H2"/>
    <x:mergeCell ref="A19:H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439998626708984" hidden="0" customWidth="1"/>
    <x:col min="2" max="2" width="12.220000267028809" hidden="0" customWidth="1"/>
    <x:col min="3" max="3" width="58.88999938964844" hidden="0" customWidth="1"/>
    <x:col min="4" max="4" width="18.889999389648438" hidden="0" customWidth="1"/>
  </x:cols>
  <x:sheetData>
    <x:row r="1" ht="25.5" customHeight="1">
      <x:c r="A1" s="3" t="str">
        <x:v>不进入普通无色池的特殊牌</x:v>
      </x:c>
      <x:c r="B1" s="3"/>
      <x:c r="C1" s="3"/>
      <x:c r="D1" s="3"/>
    </x:row>
    <x:row r="2" ht="30" customHeight="1">
      <x:c r="A2" s="7" t="str">
        <x:v>这些牌保留为事件、衍生或暂缓机制，不参与普通无色生成与商店池。</x:v>
      </x:c>
      <x:c r="B2" s="7"/>
      <x:c r="C2" s="7"/>
      <x:c r="D2" s="7"/>
    </x:row>
    <x:row r="4" ht="25.5" customHeight="1">
      <x:c r="A4" s="13" t="str">
        <x:v>尖塔特殊牌</x:v>
      </x:c>
      <x:c r="B4" s="13" t="str">
        <x:v>处置</x:v>
      </x:c>
      <x:c r="C4" s="13" t="str">
        <x:v>原因</x:v>
      </x:c>
      <x:c r="D4" s="13" t="str">
        <x:v>Winterfort归属</x:v>
      </x:c>
    </x:row>
    <x:row r="5" ht="43.5" customHeight="1">
      <x:c r="A5" s="18" t="str">
        <x:v>Apparition</x:v>
      </x:c>
      <x:c r="B5" s="24" t="str">
        <x:v>事件候选</x:v>
      </x:c>
      <x:c r="C5" s="18" t="str">
        <x:v>直接提供多张无实体会彻底改变生命与防御模型。</x:v>
      </x:c>
      <x:c r="D5" s="18" t="str">
        <x:v>事件池</x:v>
      </x:c>
    </x:row>
    <x:row r="6" ht="43.5" customHeight="1">
      <x:c r="A6" s="19" t="str">
        <x:v>Bite</x:v>
      </x:c>
      <x:c r="B6" s="24" t="str">
        <x:v>事件候选</x:v>
      </x:c>
      <x:c r="C6" s="19" t="str">
        <x:v>吸血仍是高风险设计，不放入普通生成池。</x:v>
      </x:c>
      <x:c r="D6" s="19" t="str">
        <x:v>事件池</x:v>
      </x:c>
    </x:row>
    <x:row r="7" ht="43.5" customHeight="1">
      <x:c r="A7" s="18" t="str">
        <x:v>J.A.X.</x:v>
      </x:c>
      <x:c r="B7" s="24" t="str">
        <x:v>事件候选</x:v>
      </x:c>
      <x:c r="C7" s="18" t="str">
        <x:v>自残换力量已被火·暗体系覆盖。</x:v>
      </x:c>
      <x:c r="D7" s="18" t="str">
        <x:v>事件池</x:v>
      </x:c>
    </x:row>
    <x:row r="8" ht="43.5" customHeight="1">
      <x:c r="A8" s="19" t="str">
        <x:v>Ritual Dagger</x:v>
      </x:c>
      <x:c r="B8" s="24" t="str">
        <x:v>事件候选</x:v>
      </x:c>
      <x:c r="C8" s="19" t="str">
        <x:v>猎获与永久成长已由草系承担。</x:v>
      </x:c>
      <x:c r="D8" s="19" t="str">
        <x:v>事件池</x:v>
      </x:c>
    </x:row>
    <x:row r="9" ht="43.5" customHeight="1">
      <x:c r="A9" s="18" t="str">
        <x:v>Shiv</x:v>
      </x:c>
      <x:c r="B9" s="42" t="str">
        <x:v>不采用</x:v>
      </x:c>
      <x:c r="C9" s="18" t="str">
        <x:v>已由光系衍生牌【光羽】替代。</x:v>
      </x:c>
      <x:c r="D9" s="18" t="str">
        <x:v>不进入任何池</x:v>
      </x:c>
    </x:row>
    <x:row r="10" ht="43.5" customHeight="1">
      <x:c r="A10" s="19" t="str">
        <x:v>Miracle、Insight、Safety、Smite</x:v>
      </x:c>
      <x:c r="B10" s="19" t="str">
        <x:v>暂缓</x:v>
      </x:c>
      <x:c r="C10" s="19" t="str">
        <x:v>可作为光系或事件衍生牌，不属于普通无色奖励。</x:v>
      </x:c>
      <x:c r="D10" s="19" t="str">
        <x:v>光系／事件衍生</x:v>
      </x:c>
    </x:row>
    <x:row r="11" ht="43.5" customHeight="1">
      <x:c r="A11" s="18" t="str">
        <x:v>Beta、Omega、Expunger、Through Violence</x:v>
      </x:c>
      <x:c r="B11" s="18" t="str">
        <x:v>不独立入池</x:v>
      </x:c>
      <x:c r="C11" s="18" t="str">
        <x:v>它们是其他卡牌的链式衍生结果。</x:v>
      </x:c>
      <x:c r="D11" s="18" t="str">
        <x:v>链式衍生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12.779999732971191" hidden="0" customWidth="1"/>
    <x:col min="3" max="3" width="47.779998779296875" hidden="0" customWidth="1"/>
    <x:col min="4" max="4" width="43.33000183105469" hidden="0" customWidth="1"/>
    <x:col min="5" max="5" width="43.33000183105469" hidden="0" customWidth="1"/>
    <x:col min="6" max="6" width="8.890000343322754" hidden="0" customWidth="1"/>
  </x:cols>
  <x:sheetData>
    <x:row r="1" ht="25.5" customHeight="1">
      <x:c r="A1" s="3" t="str">
        <x:v>无色卡规则与边界 V1</x:v>
      </x:c>
      <x:c r="B1" s="3"/>
      <x:c r="C1" s="3"/>
      <x:c r="D1" s="3"/>
      <x:c r="E1" s="3"/>
      <x:c r="F1" s="3"/>
    </x:row>
    <x:row r="2" ht="30" customHeight="1">
      <x:c r="A2" s="7" t="str">
        <x:v>无色是通用机制池，不是第六属性；沿用当前项目的数值、生成与状态规则。</x:v>
      </x:c>
      <x:c r="B2" s="7"/>
      <x:c r="C2" s="7"/>
      <x:c r="D2" s="7"/>
      <x:c r="E2" s="7"/>
      <x:c r="F2" s="7"/>
    </x:row>
    <x:row r="4" ht="25.5" customHeight="1">
      <x:c r="A4" s="13" t="str">
        <x:v>序号</x:v>
      </x:c>
      <x:c r="B4" s="13" t="str">
        <x:v>规则</x:v>
      </x:c>
      <x:c r="C4" s="13" t="str">
        <x:v>执行口径</x:v>
      </x:c>
      <x:c r="D4" s="13" t="str">
        <x:v>为什么</x:v>
      </x:c>
      <x:c r="E4" s="13" t="str">
        <x:v>实现提示</x:v>
      </x:c>
      <x:c r="F4" s="13" t="str">
        <x:v>状态</x:v>
      </x:c>
    </x:row>
    <x:row r="5" ht="49.5" customHeight="1">
      <x:c r="A5" s="18" t="n">
        <x:v>1</x:v>
      </x:c>
      <x:c r="B5" s="18" t="str">
        <x:v>属性归属</x:v>
      </x:c>
      <x:c r="C5" s="18" t="str">
        <x:v>无色牌没有属性标签，不满足任何“打出某属性牌”的条件。</x:v>
      </x:c>
      <x:c r="D5" s="18" t="str">
        <x:v>防止无色牌成为所有属性触发器的万能燃料。</x:v>
      </x:c>
      <x:c r="E5" s="18" t="str">
        <x:v>属性标签数组为空；无色作为独立池标记。</x:v>
      </x:c>
      <x:c r="F5" s="18" t="str">
        <x:v>定稿</x:v>
      </x:c>
    </x:row>
    <x:row r="6" ht="49.5" customHeight="1">
      <x:c r="A6" s="19" t="n">
        <x:v>2</x:v>
      </x:c>
      <x:c r="B6" s="19" t="str">
        <x:v>获得方式</x:v>
      </x:c>
      <x:c r="C6" s="19" t="str">
        <x:v>不进入普通战后属性牌奖励；主要来自商店、事件、遗物与光系生成牌。</x:v>
      </x:c>
      <x:c r="D6" s="19" t="str">
        <x:v>维持属性卡池纯度，并让无色牌保持稀有与过渡定位。</x:v>
      </x:c>
      <x:c r="E6" s="19" t="str">
        <x:v>奖励池与商店池分开建索引。</x:v>
      </x:c>
      <x:c r="F6" s="19" t="str">
        <x:v>定稿</x:v>
      </x:c>
    </x:row>
    <x:row r="7" ht="49.5" customHeight="1">
      <x:c r="A7" s="18" t="n">
        <x:v>3</x:v>
      </x:c>
      <x:c r="B7" s="18" t="str">
        <x:v>普通生成池</x:v>
      </x:c>
      <x:c r="C7" s="18" t="str">
        <x:v>随机生成无色牌时，白、蓝、金均可出现，按正常稀有度权重抽取。</x:v>
      </x:c>
      <x:c r="D7" s="18" t="str">
        <x:v>让无色生成有方差，但仍受稀有度约束。</x:v>
      </x:c>
      <x:c r="E7" s="18" t="str">
        <x:v>权重读取统一稀有度表。</x:v>
      </x:c>
      <x:c r="F7" s="18" t="str">
        <x:v>定稿</x:v>
      </x:c>
    </x:row>
    <x:row r="8" ht="49.5" customHeight="1">
      <x:c r="A8" s="19" t="n">
        <x:v>4</x:v>
      </x:c>
      <x:c r="B8" s="19" t="str">
        <x:v>递归生成</x:v>
      </x:c>
      <x:c r="C8" s="19" t="str">
        <x:v>允许生成到其他生成牌，沿用现行允许递归生成规则。</x:v>
      </x:c>
      <x:c r="D8" s="19" t="str">
        <x:v>保留高方差与惊喜感。</x:v>
      </x:c>
      <x:c r="E8" s="19" t="str">
        <x:v>必须设置生成深度、事件次数与崩溃保护测试。</x:v>
      </x:c>
      <x:c r="F8" s="19" t="str">
        <x:v>定稿</x:v>
      </x:c>
    </x:row>
    <x:row r="9" ht="49.5" customHeight="1">
      <x:c r="A9" s="18" t="n">
        <x:v>5</x:v>
      </x:c>
      <x:c r="B9" s="18" t="str">
        <x:v>池外卡</x:v>
      </x:c>
      <x:c r="C9" s="18" t="str">
        <x:v>特殊牌、事件牌和衍生牌不进入普通无色生成池。</x:v>
      </x:c>
      <x:c r="D9" s="18" t="str">
        <x:v>避免链式衍生与事件奖励污染常规池。</x:v>
      </x:c>
      <x:c r="E9" s="18" t="str">
        <x:v>使用可生成、可商店、可事件三类独立标签。</x:v>
      </x:c>
      <x:c r="F9" s="18" t="str">
        <x:v>定稿</x:v>
      </x:c>
    </x:row>
    <x:row r="10" ht="49.5" customHeight="1">
      <x:c r="A10" s="19" t="n">
        <x:v>6</x:v>
      </x:c>
      <x:c r="B10" s="19" t="str">
        <x:v>固有</x:v>
      </x:c>
      <x:c r="C10" s="19" t="str">
        <x:v>战斗开始时进入初始手牌。</x:v>
      </x:c>
      <x:c r="D10" s="19" t="str">
        <x:v>与当前项目开局抽牌流程统一。</x:v>
      </x:c>
      <x:c r="E10" s="19" t="str">
        <x:v>固有牌在常规抽牌前完成入手。</x:v>
      </x:c>
      <x:c r="F10" s="19" t="str">
        <x:v>定稿</x:v>
      </x:c>
    </x:row>
    <x:row r="11" ht="49.5" customHeight="1">
      <x:c r="A11" s="18" t="n">
        <x:v>7</x:v>
      </x:c>
      <x:c r="B11" s="18" t="str">
        <x:v>抵御</x:v>
      </x:c>
      <x:c r="C11" s="18" t="str">
        <x:v>抵消下一次将施加给自己的可移除负面状态。</x:v>
      </x:c>
      <x:c r="D11" s="18" t="str">
        <x:v>提供通用状态防护，又不阻挡不可移除债务。</x:v>
      </x:c>
      <x:c r="E11" s="18" t="str">
        <x:v>触发后消耗1层；先判定负面状态是否可移除。</x:v>
      </x:c>
      <x:c r="F11" s="18" t="str">
        <x:v>定稿</x:v>
      </x:c>
    </x:row>
    <x:row r="12" ht="49.5" customHeight="1">
      <x:c r="A12" s="19" t="n">
        <x:v>8</x:v>
      </x:c>
      <x:c r="B12" s="19" t="str">
        <x:v>虚弱</x:v>
      </x:c>
      <x:c r="C12" s="19" t="str">
        <x:v>虚弱固定降低25%攻击伤害，只累计持续回合，不累计强度。</x:v>
      </x:c>
      <x:c r="D12" s="19" t="str">
        <x:v>与水系及通用基石保持一致。</x:v>
      </x:c>
      <x:c r="E12" s="19" t="str">
        <x:v>无色卡只写持续回合。</x:v>
      </x:c>
      <x:c r="F12" s="19" t="str">
        <x:v>定稿</x:v>
      </x:c>
    </x:row>
    <x:row r="13" ht="49.5" customHeight="1">
      <x:c r="A13" s="18" t="n">
        <x:v>9</x:v>
      </x:c>
      <x:c r="B13" s="18" t="str">
        <x:v>数值口径</x:v>
      </x:c>
      <x:c r="C13" s="18" t="str">
        <x:v>全部采用《杀戮尖塔》原尺度，不做×10换算。</x:v>
      </x:c>
      <x:c r="D13" s="18" t="str">
        <x:v>与五系当前执行卡池一致。</x:v>
      </x:c>
      <x:c r="E13" s="18" t="str">
        <x:v>0费抽牌、永久减费与战斗内回复需提高出现成本。</x:v>
      </x:c>
      <x:c r="F13" s="18" t="str">
        <x:v>定稿</x:v>
      </x:c>
    </x:row>
    <x:row r="14" ht="49.5" customHeight="1">
      <x:c r="A14" s="19" t="n">
        <x:v>10</x:v>
      </x:c>
      <x:c r="B14" s="19" t="str">
        <x:v>执行规模</x:v>
      </x:c>
      <x:c r="C14" s="19" t="str">
        <x:v>首版普通无色池共43张：白9、蓝19、金15。</x:v>
      </x:c>
      <x:c r="D14" s="19" t="str">
        <x:v>按本轮人工评审结果执行。</x:v>
      </x:c>
      <x:c r="E14" s="19" t="str">
        <x:v>NC001、NC002、NC006、NC032不再占位。</x:v>
      </x:c>
      <x:c r="F14" s="24" t="str">
        <x:v>本轮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16.670000076293945" hidden="0" customWidth="1"/>
    <x:col min="3" max="3" width="23.329999923706055" hidden="0" customWidth="1"/>
    <x:col min="4" max="4" width="30" hidden="0" customWidth="1"/>
    <x:col min="5" max="5" width="21.110000610351562" hidden="0" customWidth="1"/>
    <x:col min="6" max="6" width="34.439998626708984" hidden="0" customWidth="1"/>
    <x:col min="7" max="7" width="11.109999656677246" hidden="0" customWidth="1"/>
    <x:col min="8" max="8" width="8.890000343322754" hidden="0" customWidth="1"/>
  </x:cols>
  <x:sheetData>
    <x:row r="1" ht="25.5" customHeight="1">
      <x:c r="A1" s="3" t="str">
        <x:v>无色卡池评审变更记录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只记录影响执行表的筛选与文本修复；旧候选文稿会在本表核验后删除。</x:v>
      </x:c>
      <x:c r="B2" s="7"/>
      <x:c r="C2" s="7"/>
      <x:c r="D2" s="7"/>
      <x:c r="E2" s="7"/>
      <x:c r="F2" s="7"/>
      <x:c r="G2" s="7"/>
      <x:c r="H2" s="7"/>
    </x:row>
    <x:row r="4" ht="25.5" customHeight="1">
      <x:c r="A4" s="13" t="str">
        <x:v>类别</x:v>
      </x:c>
      <x:c r="B4" s="13" t="str">
        <x:v>编号／事项</x:v>
      </x:c>
      <x:c r="C4" s="13" t="str">
        <x:v>原状态</x:v>
      </x:c>
      <x:c r="D4" s="13" t="str">
        <x:v>执行后</x:v>
      </x:c>
      <x:c r="E4" s="13" t="str">
        <x:v>处理动作</x:v>
      </x:c>
      <x:c r="F4" s="13" t="str">
        <x:v>原因</x:v>
      </x:c>
      <x:c r="G4" s="13" t="str">
        <x:v>是否进入卡池</x:v>
      </x:c>
      <x:c r="H4" s="13" t="str">
        <x:v>状态</x:v>
      </x:c>
    </x:row>
    <x:row r="5" ht="43.5" customHeight="1">
      <x:c r="A5" s="42" t="str">
        <x:v>用户删除</x:v>
      </x:c>
      <x:c r="B5" s="18" t="str">
        <x:v>NC001</x:v>
      </x:c>
      <x:c r="C5" s="18" t="str">
        <x:v>原47张候选之一</x:v>
      </x:c>
      <x:c r="D5" s="18" t="str">
        <x:v>—</x:v>
      </x:c>
      <x:c r="E5" s="18" t="str">
        <x:v>删除，不保留占位</x:v>
      </x:c>
      <x:c r="F5" s="18" t="str">
        <x:v>评审稿中已移除该卡。</x:v>
      </x:c>
      <x:c r="G5" s="18" t="str">
        <x:v>否</x:v>
      </x:c>
      <x:c r="H5" s="21" t="str">
        <x:v>已执行</x:v>
      </x:c>
    </x:row>
    <x:row r="6" ht="43.5" customHeight="1">
      <x:c r="A6" s="42" t="str">
        <x:v>用户删除</x:v>
      </x:c>
      <x:c r="B6" s="19" t="str">
        <x:v>NC002</x:v>
      </x:c>
      <x:c r="C6" s="19" t="str">
        <x:v>原47张候选之一</x:v>
      </x:c>
      <x:c r="D6" s="19" t="str">
        <x:v>—</x:v>
      </x:c>
      <x:c r="E6" s="19" t="str">
        <x:v>删除，不保留占位</x:v>
      </x:c>
      <x:c r="F6" s="19" t="str">
        <x:v>评审稿中已移除该卡。</x:v>
      </x:c>
      <x:c r="G6" s="19" t="str">
        <x:v>否</x:v>
      </x:c>
      <x:c r="H6" s="21" t="str">
        <x:v>已执行</x:v>
      </x:c>
    </x:row>
    <x:row r="7" ht="43.5" customHeight="1">
      <x:c r="A7" s="42" t="str">
        <x:v>用户删除</x:v>
      </x:c>
      <x:c r="B7" s="18" t="str">
        <x:v>NC006</x:v>
      </x:c>
      <x:c r="C7" s="18" t="str">
        <x:v>原47张候选之一</x:v>
      </x:c>
      <x:c r="D7" s="18" t="str">
        <x:v>—</x:v>
      </x:c>
      <x:c r="E7" s="18" t="str">
        <x:v>删除，不保留占位</x:v>
      </x:c>
      <x:c r="F7" s="18" t="str">
        <x:v>评审稿中已移除该卡。</x:v>
      </x:c>
      <x:c r="G7" s="18" t="str">
        <x:v>否</x:v>
      </x:c>
      <x:c r="H7" s="21" t="str">
        <x:v>已执行</x:v>
      </x:c>
    </x:row>
    <x:row r="8" ht="43.5" customHeight="1">
      <x:c r="A8" s="42" t="str">
        <x:v>用户删除</x:v>
      </x:c>
      <x:c r="B8" s="19" t="str">
        <x:v>NC032</x:v>
      </x:c>
      <x:c r="C8" s="19" t="str">
        <x:v>原47张候选之一</x:v>
      </x:c>
      <x:c r="D8" s="19" t="str">
        <x:v>—</x:v>
      </x:c>
      <x:c r="E8" s="19" t="str">
        <x:v>删除，不保留占位</x:v>
      </x:c>
      <x:c r="F8" s="19" t="str">
        <x:v>评审稿中已移除该卡。</x:v>
      </x:c>
      <x:c r="G8" s="19" t="str">
        <x:v>否</x:v>
      </x:c>
      <x:c r="H8" s="21" t="str">
        <x:v>已执行</x:v>
      </x:c>
    </x:row>
    <x:row r="9" ht="43.5" customHeight="1">
      <x:c r="A9" s="18" t="str">
        <x:v>统计修复</x:v>
      </x:c>
      <x:c r="B9" s="18" t="str">
        <x:v>卡池总数</x:v>
      </x:c>
      <x:c r="C9" s="18" t="str">
        <x:v>47</x:v>
      </x:c>
      <x:c r="D9" s="18" t="str">
        <x:v>43</x:v>
      </x:c>
      <x:c r="E9" s="18" t="str">
        <x:v>同步所有总览与规则</x:v>
      </x:c>
      <x:c r="F9" s="18" t="str">
        <x:v>原统计未随删卡更新。</x:v>
      </x:c>
      <x:c r="G9" s="18" t="str">
        <x:v>—</x:v>
      </x:c>
      <x:c r="H9" s="21" t="str">
        <x:v>已执行</x:v>
      </x:c>
    </x:row>
    <x:row r="10" ht="43.5" customHeight="1">
      <x:c r="A10" s="19" t="str">
        <x:v>统计修复</x:v>
      </x:c>
      <x:c r="B10" s="19" t="str">
        <x:v>稀有度分布</x:v>
      </x:c>
      <x:c r="C10" s="19" t="str">
        <x:v>白12／蓝20／金15</x:v>
      </x:c>
      <x:c r="D10" s="19" t="str">
        <x:v>白9／蓝19／金15</x:v>
      </x:c>
      <x:c r="E10" s="19" t="str">
        <x:v>按实际保留行重算</x:v>
      </x:c>
      <x:c r="F10" s="19" t="str">
        <x:v>保证公式与主表一致。</x:v>
      </x:c>
      <x:c r="G10" s="19" t="str">
        <x:v>—</x:v>
      </x:c>
      <x:c r="H10" s="21" t="str">
        <x:v>已执行</x:v>
      </x:c>
    </x:row>
    <x:row r="11" ht="43.5" customHeight="1">
      <x:c r="A11" s="18" t="str">
        <x:v>表格修复</x:v>
      </x:c>
      <x:c r="B11" s="18" t="str">
        <x:v>NC005 隔夜保管</x:v>
      </x:c>
      <x:c r="C11" s="18" t="str">
        <x:v>风险列因Markdown断行缺失</x:v>
      </x:c>
      <x:c r="D11" s="18" t="str">
        <x:v>补为“保留状态与费用修正的持续时点”</x:v>
      </x:c>
      <x:c r="E11" s="18" t="str">
        <x:v>只补缺失备注，不改卡面</x:v>
      </x:c>
      <x:c r="F11" s="18" t="str">
        <x:v>避免导入错列。</x:v>
      </x:c>
      <x:c r="G11" s="18" t="str">
        <x:v>是</x:v>
      </x:c>
      <x:c r="H11" s="21" t="str">
        <x:v>已执行</x:v>
      </x:c>
    </x:row>
    <x:row r="12" ht="43.5" customHeight="1">
      <x:c r="A12" s="19" t="str">
        <x:v>旧文清理</x:v>
      </x:c>
      <x:c r="B12" s="19" t="str">
        <x:v>第二轮20张推荐</x:v>
      </x:c>
      <x:c r="C12" s="19" t="str">
        <x:v>仍包含已删除编号</x:v>
      </x:c>
      <x:c r="D12" s="19" t="str">
        <x:v>不进入正式表</x:v>
      </x:c>
      <x:c r="E12" s="19" t="str">
        <x:v>删除陈旧推荐段</x:v>
      </x:c>
      <x:c r="F12" s="19" t="str">
        <x:v>本轮已经完成评审，不再需要候选推荐。</x:v>
      </x:c>
      <x:c r="G12" s="19" t="str">
        <x:v>—</x:v>
      </x:c>
      <x:c r="H12" s="21" t="str">
        <x:v>已执行</x:v>
      </x:c>
    </x:row>
    <x:row r="13" ht="43.5" customHeight="1">
      <x:c r="A13" s="18" t="str">
        <x:v>状态升级</x:v>
      </x:c>
      <x:c r="B13" s="18" t="str">
        <x:v>整池</x:v>
      </x:c>
      <x:c r="C13" s="18" t="str">
        <x:v>外部评审候选</x:v>
      </x:c>
      <x:c r="D13" s="18" t="str">
        <x:v>评审通过执行表</x:v>
      </x:c>
      <x:c r="E13" s="18" t="str">
        <x:v>生成V1定稿Excel</x:v>
      </x:c>
      <x:c r="F13" s="18" t="str">
        <x:v>用户确认评审完成。</x:v>
      </x:c>
      <x:c r="G13" s="18" t="str">
        <x:v>是</x:v>
      </x:c>
      <x:c r="H13" s="21" t="str">
        <x:v>已执行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890000343322754" hidden="0" customWidth="1"/>
    <x:col min="2" max="2" width="17.780000686645508" hidden="0" customWidth="1"/>
    <x:col min="3" max="3" width="77.77999877929688" hidden="0" customWidth="1"/>
    <x:col min="4" max="4" width="30" hidden="0" customWidth="1"/>
    <x:col min="5" max="5" width="31.110000610351562" hidden="0" customWidth="1"/>
  </x:cols>
  <x:sheetData>
    <x:row r="1" ht="25.5" customHeight="1">
      <x:c r="A1" s="3" t="str">
        <x:v>来源与版本 | 无色卡池 V1</x:v>
      </x:c>
      <x:c r="B1" s="3"/>
      <x:c r="C1" s="3"/>
      <x:c r="D1" s="3"/>
      <x:c r="E1" s="3"/>
    </x:row>
    <x:row r="2" ht="30" customHeight="1">
      <x:c r="A2" s="7" t="str">
        <x:v>源Markdown在本表导出并验证后按项目规则删除；本页保留输入路径与公开参考链接。</x:v>
      </x:c>
      <x:c r="B2" s="7"/>
      <x:c r="C2" s="7"/>
      <x:c r="D2" s="7"/>
      <x:c r="E2" s="7"/>
    </x:row>
    <x:row r="4" ht="25.5" customHeight="1">
      <x:c r="A4" s="13" t="str">
        <x:v>类别</x:v>
      </x:c>
      <x:c r="B4" s="13" t="str">
        <x:v>项目</x:v>
      </x:c>
      <x:c r="C4" s="13" t="str">
        <x:v>值／路径</x:v>
      </x:c>
      <x:c r="D4" s="13" t="str">
        <x:v>处理口径</x:v>
      </x:c>
      <x:c r="E4" s="13" t="str">
        <x:v>备注</x:v>
      </x:c>
    </x:row>
    <x:row r="5" ht="43.5" customHeight="1">
      <x:c r="A5" s="18" t="str">
        <x:v>版本</x:v>
      </x:c>
      <x:c r="B5" s="18" t="str">
        <x:v>输出文件</x:v>
      </x:c>
      <x:c r="C5" s="18" t="str">
        <x:v>/Users/wangyuekai/Desktop/winterfort/01_各系卡池_当前版/07_无色卡池_V1_评审定稿版.xlsx</x:v>
      </x:c>
      <x:c r="D5" s="18" t="str">
        <x:v>当前执行表</x:v>
      </x:c>
      <x:c r="E5" s="18" t="str">
        <x:v>新增到各系卡池当前版目录。</x:v>
      </x:c>
    </x:row>
    <x:row r="6" ht="43.5" customHeight="1">
      <x:c r="A6" s="19" t="str">
        <x:v>输入</x:v>
      </x:c>
      <x:c r="B6" s="19" t="str">
        <x:v>评审源文稿</x:v>
      </x:c>
      <x:c r="C6" s="19" t="str">
        <x:v>/Users/wangyuekai/Desktop/winterfort/01_各系卡池_当前版/评审文稿/2026-08_尖塔胶水与无色卡审阅/03_Winterfort无色卡池候选_V1.md</x:v>
      </x:c>
      <x:c r="D6" s="19" t="str">
        <x:v>读取后删除</x:v>
      </x:c>
      <x:c r="E6" s="19" t="str">
        <x:v>卡面和筛选结果已固化到本工作簿。</x:v>
      </x:c>
    </x:row>
    <x:row r="7" ht="43.5" customHeight="1">
      <x:c r="A7" s="18" t="str">
        <x:v>来源</x:v>
      </x:c>
      <x:c r="B7" s="18" t="str">
        <x:v>无色牌完整索引</x:v>
      </x:c>
      <x:c r="C7" s="18" t="str">
        <x:v>https://slaythespire.gg/cards/colorless</x:v>
      </x:c>
      <x:c r="D7" s="18" t="str">
        <x:v>结构与数值参考</x:v>
      </x:c>
      <x:c r="E7" s="18" t="str">
        <x:v>公开网页。</x:v>
      </x:c>
    </x:row>
    <x:row r="8" ht="43.5" customHeight="1">
      <x:c r="A8" s="19" t="str">
        <x:v>来源</x:v>
      </x:c>
      <x:c r="B8" s="19" t="str">
        <x:v>全卡结构化数据</x:v>
      </x:c>
      <x:c r="C8" s="19" t="str">
        <x:v>https://slaythespire.wiki.gg/wiki/Module:Cards/data?action=raw</x:v>
      </x:c>
      <x:c r="D8" s="19" t="str">
        <x:v>原型核对</x:v>
      </x:c>
      <x:c r="E8" s="19" t="str">
        <x:v>公开网页。</x:v>
      </x:c>
    </x:row>
    <x:row r="9" ht="43.5" customHeight="1">
      <x:c r="A9" s="18" t="str">
        <x:v>来源</x:v>
      </x:c>
      <x:c r="B9" s="18" t="str">
        <x:v>卡牌类型与特殊牌说明</x:v>
      </x:c>
      <x:c r="C9" s="18" t="str">
        <x:v>https://slaythespire.wiki.gg/wiki/Card</x:v>
      </x:c>
      <x:c r="D9" s="18" t="str">
        <x:v>类型与特殊牌边界</x:v>
      </x:c>
      <x:c r="E9" s="18" t="str">
        <x:v>公开网页。</x:v>
      </x:c>
    </x:row>
    <x:row r="10" ht="43.5" customHeight="1">
      <x:c r="A10" s="24" t="str">
        <x:v>计数</x:v>
      </x:c>
      <x:c r="B10" s="19" t="str">
        <x:v>正式卡池</x:v>
      </x:c>
      <x:c r="C10" s="19" t="str">
        <x:v>43</x:v>
      </x:c>
      <x:c r="D10" s="19" t="str">
        <x:v>白9／蓝19／金15</x:v>
      </x:c>
      <x:c r="E10" s="19" t="str">
        <x:v>公式总览可复核。</x:v>
      </x:c>
    </x:row>
    <x:row r="11" ht="43.5" customHeight="1">
      <x:c r="A11" s="24" t="str">
        <x:v>风险</x:v>
      </x:c>
      <x:c r="B11" s="18" t="str">
        <x:v>优先压测</x:v>
      </x:c>
      <x:c r="C11" s="18" t="str">
        <x:v>12</x:v>
      </x:c>
      <x:c r="D11" s="18" t="str">
        <x:v>沿用评审稿风险清单</x:v>
      </x:c>
      <x:c r="E11" s="18" t="str">
        <x:v>重点检查0费与生成循环。</x:v>
      </x:c>
    </x:row>
    <x:row r="12" ht="43.5" customHeight="1">
      <x:c r="A12" s="19" t="str">
        <x:v>日期</x:v>
      </x:c>
      <x:c r="B12" s="19" t="str">
        <x:v>生成日期</x:v>
      </x:c>
      <x:c r="C12" s="19" t="str">
        <x:v>2026-08-12</x:v>
      </x:c>
      <x:c r="D12" s="19" t="str">
        <x:v>Asia/Shanghai</x:v>
      </x:c>
      <x:c r="E12" s="19" t="str">
        <x:v>—</x:v>
      </x:c>
    </x:row>
  </x:sheetData>
  <x:mergeCells>
    <x:mergeCell ref="A1:E1"/>
    <x:mergeCell ref="A2:E2"/>
  </x:mergeCells>
  <x:pageMargins left="0.7" right="0.7" top="0.75" bottom="0.75" header="0.3" footer="0.3"/>
</x:worksheet>
</file>