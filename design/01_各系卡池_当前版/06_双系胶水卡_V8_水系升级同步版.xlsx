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a5f629a7a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并卡池" sheetId="1" r:id="R6db12aaac5964256"/>
    <x:sheet xmlns:r="http://schemas.openxmlformats.org/officeDocument/2006/relationships" name="组合总览" sheetId="2" r:id="R9223beef110a44ed"/>
    <x:sheet xmlns:r="http://schemas.openxmlformats.org/officeDocument/2006/relationships" name="去重与变更记录" sheetId="3" r:id="R40047b80a6aa44d3"/>
    <x:sheet xmlns:r="http://schemas.openxmlformats.org/officeDocument/2006/relationships" name="规则与边界" sheetId="4" r:id="R7d6f14e0e1da4909"/>
    <x:sheet xmlns:r="http://schemas.openxmlformats.org/officeDocument/2006/relationships" name="来源与版本" sheetId="5" r:id="Rf9f83e7ebfab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D5D68"/>
      <x:name val="Carlito"/>
    </x:font>
    <x:font>
      <x:b/>
      <x:sz val="10"/>
      <x:color rgb="FFFFFFFF"/>
      <x:name val="Carlito"/>
    </x:font>
    <x:font>
      <x:sz val="9"/>
      <x:color rgb="FF2E3B43"/>
      <x:name val="Carlito"/>
    </x:font>
    <x:font>
      <x:b/>
      <x:sz val="9"/>
      <x:color rgb="FF2E3B43"/>
      <x:name val="Carlito"/>
    </x:font>
    <x:font>
      <x:b/>
      <x:sz val="16"/>
      <x:color rgb="FFFFFFFF"/>
      <x:name val="Carlito"/>
    </x:font>
    <x:font>
      <x:i/>
      <x:sz val="11"/>
      <x:color rgb="FF5B5B5B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i/>
      <x:sz val="11"/>
      <x:color rgb="FF294861"/>
      <x:name val="Carlito"/>
    </x:font>
    <x:font>
      <x:sz val="11"/>
      <x:color rgb="FF243746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EAF1F3"/>
      </x:patternFill>
    </x:fill>
    <x:fill>
      <x:patternFill patternType="solid">
        <x:fgColor rgb="FF1F7A7A"/>
      </x:patternFill>
    </x:fill>
    <x:fill>
      <x:patternFill patternType="solid">
        <x:fgColor rgb="FFDDF1F8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20364D"/>
      </x:patternFill>
    </x:fill>
    <x:fill>
      <x:patternFill patternType="solid">
        <x:fgColor rgb="FFFFF2CC"/>
      </x:patternFill>
    </x:fill>
    <x:fill>
      <x:patternFill patternType="solid">
        <x:fgColor rgb="FF197F80"/>
      </x:patternFill>
    </x:fill>
    <x:fill>
      <x:patternFill patternType="solid">
        <x:fgColor rgb="FFDDEBF7"/>
      </x:patternFill>
    </x:fill>
    <x:fill>
      <x:patternFill patternType="solid">
        <x:fgColor rgb="FFFFF9E6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7F6000"/>
      </x:patternFill>
    </x:fill>
    <x:fill>
      <x:patternFill patternType="solid">
        <x:fgColor rgb="FFF4CCCC"/>
      </x:patternFill>
    </x:fill>
    <x:fill>
      <x:patternFill patternType="solid">
        <x:fgColor rgb="FF20364D"/>
      </x:patternFill>
    </x:fill>
    <x:fill>
      <x:patternFill patternType="solid">
        <x:fgColor rgb="FFFFF2CC"/>
      </x:patternFill>
    </x:fill>
    <x:fill>
      <x:patternFill patternType="solid">
        <x:fgColor rgb="FF197F80"/>
      </x:patternFill>
    </x:fill>
    <x:fill>
      <x:patternFill patternType="solid">
        <x:fgColor rgb="FFFFF9E6"/>
      </x:patternFill>
    </x:fill>
    <x:fill>
      <x:patternFill patternType="solid">
        <x:fgColor rgb="FFDDEBF7"/>
      </x:patternFill>
    </x:fill>
    <x:fill>
      <x:patternFill patternType="solid">
        <x:fgColor rgb="FF0B3C5D"/>
      </x:patternFill>
    </x:fill>
    <x:fill>
      <x:patternFill patternType="solid">
        <x:fgColor rgb="FFDCEAF3"/>
      </x:patternFill>
    </x:fill>
    <x:fill>
      <x:patternFill patternType="solid">
        <x:fgColor rgb="FF187E80"/>
      </x:patternFill>
    </x:fill>
    <x:fill>
      <x:patternFill patternType="solid">
        <x:fgColor rgb="FFFCF5DF"/>
      </x:patternFill>
    </x:fill>
  </x:fills>
  <x:borders count="16">
    <x:border/>
    <x:border>
      <x:left style="thin">
        <x:color rgb="FFD1E0E5"/>
      </x:left>
      <x:right style="thin">
        <x:color rgb="FFD1E0E5"/>
      </x:right>
      <x:top style="thin">
        <x:color rgb="FFD1E0E5"/>
      </x:top>
      <x:bottom style="thin">
        <x:color rgb="FFD1E0E5"/>
      </x:bottom>
    </x:border>
    <x:border>
      <x:left style="thin">
        <x:color rgb="FFD8E4E8"/>
      </x:left>
      <x:right style="thin">
        <x:color rgb="FFD8E4E8"/>
      </x:right>
      <x:top style="thin">
        <x:color rgb="FFD8E4E8"/>
      </x:top>
      <x:bottom style="thin">
        <x:color rgb="FFD8E4E8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medium">
        <x:color rgb="FF0B3C5D"/>
      </x:bottom>
    </x:border>
    <x:border>
      <x:bottom style="thin">
        <x:color rgb="FFC8D9E5"/>
      </x:bottom>
    </x:border>
    <x:border>
      <x:top style="thin">
        <x:color rgb="FFC8D9E5"/>
      </x:top>
      <x:bottom style="thin">
        <x:color rgb="FFC8D9E5"/>
      </x:bottom>
    </x:border>
    <x:border>
      <x:top style="thin">
        <x:color rgb="FFC8D9E5"/>
      </x:top>
    </x:border>
  </x:borders>
  <x:cellStyleXfs count="1">
    <x:xf numFmtId="0" fontId="0" fillId="0" borderId="0"/>
  </x:cellStyleXfs>
  <x:cellXfs count="1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3" xfId="0" applyNumberFormat="1" applyFont="1" applyFill="1" applyBorder="1"/>
    <x:xf numFmtId="0" fontId="8" fillId="13" borderId="4" xfId="0" applyNumberFormat="1" applyFont="1" applyFill="1" applyBorder="1"/>
    <x:xf numFmtId="0" fontId="8" fillId="13" borderId="5" xfId="0" applyNumberFormat="1" applyFont="1" applyFill="1" applyBorder="1"/>
    <x:xf numFmtId="0" fontId="8" fillId="13" borderId="3" xfId="0" applyNumberFormat="1" applyFont="1" applyFill="1" applyBorder="1" applyAlignment="1">
      <x:alignment wrapText="1"/>
    </x:xf>
    <x:xf numFmtId="0" fontId="8" fillId="13" borderId="4" xfId="0" applyNumberFormat="1" applyFont="1" applyFill="1" applyBorder="1" applyAlignment="1">
      <x:alignment wrapText="1"/>
    </x:xf>
    <x:xf numFmtId="0" fontId="8" fillId="13" borderId="5" xfId="0" applyNumberFormat="1" applyFont="1" applyFill="1" applyBorder="1" applyAlignment="1">
      <x:alignment wrapText="1"/>
    </x:xf>
    <x:xf numFmtId="0" fontId="8" fillId="13" borderId="3" xfId="0" applyNumberFormat="1" applyFont="1" applyFill="1" applyBorder="1" applyAlignment="1">
      <x:alignment horizontal="center" wrapText="1"/>
    </x:xf>
    <x:xf numFmtId="0" fontId="8" fillId="13" borderId="4" xfId="0" applyNumberFormat="1" applyFont="1" applyFill="1" applyBorder="1" applyAlignment="1">
      <x:alignment horizontal="center" wrapText="1"/>
    </x:xf>
    <x:xf numFmtId="0" fontId="8" fillId="13" borderId="5" xfId="0" applyNumberFormat="1" applyFont="1" applyFill="1" applyBorder="1" applyAlignment="1">
      <x:alignment horizontal="center" wrapText="1"/>
    </x:xf>
    <x:xf numFmtId="0" fontId="8" fillId="13" borderId="3" xfId="0" applyNumberFormat="1" applyFont="1" applyFill="1" applyBorder="1" applyAlignment="1">
      <x:alignment horizontal="center" vertical="center" wrapText="1"/>
    </x:xf>
    <x:xf numFmtId="0" fontId="8" fillId="13" borderId="4" xfId="0" applyNumberFormat="1" applyFont="1" applyFill="1" applyBorder="1" applyAlignment="1">
      <x:alignment horizontal="center" vertical="center" wrapText="1"/>
    </x:xf>
    <x:xf numFmtId="0" fontId="8" fillId="13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14" borderId="6" xfId="0" applyNumberFormat="1" applyFont="1" applyFill="1" applyBorder="1" applyAlignment="1">
      <x:alignment vertical="center" wrapText="1"/>
    </x:xf>
    <x:xf numFmtId="0" fontId="0" fillId="14" borderId="7" xfId="0" applyNumberFormat="1" applyFont="1" applyFill="1" applyBorder="1" applyAlignment="1">
      <x:alignment vertical="center" wrapText="1"/>
    </x:xf>
    <x:xf numFmtId="0" fontId="0" fillId="15" borderId="7" xfId="0" applyNumberFormat="1" applyFont="1" applyFill="1" applyBorder="1" applyAlignment="1">
      <x:alignment vertical="center" wrapText="1"/>
    </x:xf>
    <x:xf numFmtId="0" fontId="0" fillId="16" borderId="7" xfId="0" applyNumberFormat="1" applyFont="1" applyFill="1" applyBorder="1" applyAlignment="1">
      <x:alignment vertical="center" wrapText="1"/>
    </x:xf>
    <x:xf numFmtId="0" fontId="0" fillId="17" borderId="7" xfId="0" applyNumberFormat="1" applyFont="1" applyFill="1" applyBorder="1" applyAlignment="1">
      <x:alignment vertical="center" wrapText="1"/>
    </x:xf>
    <x:xf numFmtId="0" fontId="0" fillId="18" borderId="7" xfId="0" applyNumberFormat="1" applyFont="1" applyFill="1" applyBorder="1" applyAlignment="1">
      <x:alignment vertical="center" wrapText="1"/>
    </x:xf>
    <x:xf numFmtId="0" fontId="0" fillId="18" borderId="8" xfId="0" applyNumberFormat="1" applyFont="1" applyFill="1" applyBorder="1" applyAlignment="1">
      <x:alignment vertical="center" wrapText="1"/>
    </x:xf>
    <x:xf numFmtId="0" fontId="0" fillId="14" borderId="6" xfId="0" applyNumberFormat="1" applyFont="1" applyFill="1" applyBorder="1" applyAlignment="1">
      <x:alignment horizontal="center" vertical="center" wrapText="1"/>
    </x:xf>
    <x:xf numFmtId="0" fontId="0" fillId="14" borderId="7" xfId="0" applyNumberFormat="1" applyFont="1" applyFill="1" applyBorder="1" applyAlignment="1">
      <x:alignment horizontal="center" vertical="center" wrapText="1"/>
    </x:xf>
    <x:xf numFmtId="0" fontId="0" fillId="15" borderId="7" xfId="0" applyNumberFormat="1" applyFont="1" applyFill="1" applyBorder="1" applyAlignment="1">
      <x:alignment horizontal="center" vertical="center" wrapText="1"/>
    </x:xf>
    <x:xf numFmtId="0" fontId="0" fillId="16" borderId="7" xfId="0" applyNumberFormat="1" applyFont="1" applyFill="1" applyBorder="1" applyAlignment="1">
      <x:alignment horizontal="center" vertical="center" wrapText="1"/>
    </x:xf>
    <x:xf numFmtId="0" fontId="0" fillId="17" borderId="7" xfId="0" applyNumberFormat="1" applyFont="1" applyFill="1" applyBorder="1" applyAlignment="1">
      <x:alignment horizontal="center" vertical="center" wrapText="1"/>
    </x:xf>
    <x:xf numFmtId="0" fontId="0" fillId="18" borderId="7" xfId="0" applyNumberFormat="1" applyFont="1" applyFill="1" applyBorder="1" applyAlignment="1">
      <x:alignment horizontal="center" vertical="center" wrapText="1"/>
    </x:xf>
    <x:xf numFmtId="0" fontId="0" fillId="18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0" fillId="15" borderId="6" xfId="0" applyNumberFormat="1" applyFont="1" applyFill="1" applyBorder="1"/>
    <x:xf numFmtId="0" fontId="0" fillId="15" borderId="7" xfId="0" applyNumberFormat="1" applyFont="1" applyFill="1" applyBorder="1"/>
    <x:xf numFmtId="0" fontId="0" fillId="15" borderId="8" xfId="0" applyNumberFormat="1" applyFont="1" applyFill="1" applyBorder="1"/>
    <x:xf numFmtId="0" fontId="0" fillId="15" borderId="6" xfId="0" applyNumberFormat="1" applyFont="1" applyFill="1" applyBorder="1" applyAlignment="1">
      <x:alignment wrapText="1"/>
    </x:xf>
    <x:xf numFmtId="0" fontId="0" fillId="15" borderId="7" xfId="0" applyNumberFormat="1" applyFont="1" applyFill="1" applyBorder="1" applyAlignment="1">
      <x:alignment wrapText="1"/>
    </x:xf>
    <x:xf numFmtId="0" fontId="0" fillId="15" borderId="8" xfId="0" applyNumberFormat="1" applyFont="1" applyFill="1" applyBorder="1" applyAlignment="1">
      <x:alignment wrapText="1"/>
    </x:xf>
    <x:xf numFmtId="0" fontId="0" fillId="15" borderId="6" xfId="0" applyNumberFormat="1" applyFont="1" applyFill="1" applyBorder="1" applyAlignment="1">
      <x:alignment vertical="center" wrapText="1"/>
    </x:xf>
    <x:xf numFmtId="0" fontId="0" fillId="15" borderId="8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borderId="3" xfId="0" applyNumberFormat="1" applyFont="1" applyFill="1" applyBorder="1"/>
    <x:xf numFmtId="0" fontId="8" fillId="19" borderId="5" xfId="0" applyNumberFormat="1" applyFont="1" applyFill="1" applyBorder="1"/>
    <x:xf numFmtId="0" fontId="8" fillId="19" borderId="3" xfId="0" applyNumberFormat="1" applyFont="1" applyFill="1" applyBorder="1" applyAlignment="1">
      <x:alignment wrapText="1"/>
    </x:xf>
    <x:xf numFmtId="0" fontId="8" fillId="19" borderId="5" xfId="0" applyNumberFormat="1" applyFont="1" applyFill="1" applyBorder="1" applyAlignment="1">
      <x:alignment wrapText="1"/>
    </x:xf>
    <x:xf numFmtId="0" fontId="8" fillId="19" borderId="3" xfId="0" applyNumberFormat="1" applyFont="1" applyFill="1" applyBorder="1" applyAlignment="1">
      <x:alignment horizontal="center" wrapText="1"/>
    </x:xf>
    <x:xf numFmtId="0" fontId="8" fillId="19" borderId="5" xfId="0" applyNumberFormat="1" applyFont="1" applyFill="1" applyBorder="1" applyAlignment="1">
      <x:alignment horizontal="center" wrapText="1"/>
    </x:xf>
    <x:xf numFmtId="0" fontId="8" fillId="19" borderId="3" xfId="0" applyNumberFormat="1" applyFont="1" applyFill="1" applyBorder="1" applyAlignment="1">
      <x:alignment horizontal="center" vertical="center" wrapText="1"/>
    </x:xf>
    <x:xf numFmtId="0" fontId="8" fillId="19" borderId="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0" fillId="14" borderId="6" xfId="0" applyNumberFormat="1" applyFont="1" applyFill="1" applyBorder="1"/>
    <x:xf numFmtId="0" fontId="0" fillId="14" borderId="7" xfId="0" applyNumberFormat="1" applyFont="1" applyFill="1" applyBorder="1"/>
    <x:xf numFmtId="0" fontId="0" fillId="14" borderId="8" xfId="0" applyNumberFormat="1" applyFont="1" applyFill="1" applyBorder="1"/>
    <x:xf numFmtId="0" fontId="0" fillId="14" borderId="6" xfId="0" applyNumberFormat="1" applyFont="1" applyFill="1" applyBorder="1" applyAlignment="1">
      <x:alignment wrapText="1"/>
    </x:xf>
    <x:xf numFmtId="0" fontId="0" fillId="14" borderId="7" xfId="0" applyNumberFormat="1" applyFont="1" applyFill="1" applyBorder="1" applyAlignment="1">
      <x:alignment wrapText="1"/>
    </x:xf>
    <x:xf numFmtId="0" fontId="0" fillId="14" borderId="8" xfId="0" applyNumberFormat="1" applyFont="1" applyFill="1" applyBorder="1" applyAlignment="1">
      <x:alignment wrapText="1"/>
    </x:xf>
    <x:xf numFmtId="0" fontId="0" fillId="14" borderId="8" xfId="0" applyNumberFormat="1" applyFont="1" applyFill="1" applyBorder="1" applyAlignment="1">
      <x:alignment vertical="center" wrapText="1"/>
    </x:xf>
    <x:xf numFmtId="0" fontId="0" fillId="20" borderId="6" xfId="0" applyNumberFormat="1" applyFont="1" applyFill="1" applyBorder="1" applyAlignment="1">
      <x:alignment vertical="center" wrapText="1"/>
    </x:xf>
    <x:xf numFmtId="0" fontId="0" fillId="20" borderId="7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8" fillId="21" borderId="0" xfId="0" applyNumberFormat="1" applyFont="1" applyFill="1" applyBorder="1"/>
    <x:xf numFmtId="0" fontId="0" fillId="22" borderId="0" xfId="0" applyNumberFormat="1" applyFont="1" applyFill="1" applyBorder="1"/>
    <x:xf numFmtId="0" fontId="7" fillId="22" borderId="0" xfId="0" applyNumberFormat="1" applyFont="1" applyFill="1" applyBorder="1"/>
    <x:xf numFmtId="0" fontId="7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8" fillId="23" borderId="0" xfId="0" applyNumberFormat="1" applyFont="1" applyFill="1" applyBorder="1"/>
    <x:xf numFmtId="0" fontId="8" fillId="23" borderId="0" xfId="0" applyNumberFormat="1" applyFont="1" applyFill="1" applyBorder="1" applyAlignment="1">
      <x:alignment wrapText="1"/>
    </x:xf>
    <x:xf numFmtId="0" fontId="8" fillId="23" borderId="0" xfId="0" applyNumberFormat="1" applyFont="1" applyFill="1" applyBorder="1" applyAlignment="1">
      <x:alignment horizont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9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0" fillId="24" borderId="9" xfId="0" applyNumberFormat="1" applyFont="1" applyFill="1" applyBorder="1"/>
    <x:xf numFmtId="0" fontId="0" fillId="24" borderId="10" xfId="0" applyNumberFormat="1" applyFont="1" applyFill="1" applyBorder="1"/>
    <x:xf numFmtId="0" fontId="0" fillId="24" borderId="11" xfId="0" applyNumberFormat="1" applyFont="1" applyFill="1" applyBorder="1"/>
    <x:xf numFmtId="0" fontId="0" fillId="25" borderId="0" xfId="0" applyNumberFormat="1" applyFont="1" applyFill="1" applyBorder="1"/>
    <x:xf numFmtId="0" fontId="0" fillId="26" borderId="0" xfId="0" applyNumberFormat="1" applyFont="1" applyFill="1" applyBorder="1"/>
    <x:xf numFmtId="0" fontId="8" fillId="26" borderId="0" xfId="0" applyNumberFormat="1" applyFont="1" applyFill="1" applyBorder="1"/>
    <x:xf numFmtId="0" fontId="8" fillId="26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10" fillId="27" borderId="0" xfId="0" applyNumberFormat="1" applyFont="1" applyFill="1" applyBorder="1"/>
    <x:xf numFmtId="0" fontId="10" fillId="27" borderId="0" xfId="0" applyNumberFormat="1" applyFont="1" applyFill="1" applyBorder="1" applyAlignment="1">
      <x:alignment wrapText="1"/>
    </x:xf>
    <x:xf numFmtId="0" fontId="1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8" fillId="28" borderId="0" xfId="0" applyNumberFormat="1" applyFont="1" applyFill="1" applyBorder="1"/>
    <x:xf numFmtId="0" fontId="8" fillId="28" borderId="12" xfId="0" applyNumberFormat="1" applyFont="1" applyFill="1" applyBorder="1"/>
    <x:xf numFmtId="0" fontId="8" fillId="28" borderId="12" xfId="0" applyNumberFormat="1" applyFont="1" applyFill="1" applyBorder="1" applyAlignment="1">
      <x:alignment wrapText="1"/>
    </x:xf>
    <x:xf numFmtId="0" fontId="8" fillId="28" borderId="12" xfId="0" applyNumberFormat="1" applyFont="1" applyFill="1" applyBorder="1" applyAlignment="1">
      <x:alignment horizontal="center" wrapText="1"/>
    </x:xf>
    <x:xf numFmtId="0" fontId="8" fillId="28" borderId="12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13" xfId="0" applyNumberFormat="1" applyFont="1" applyFill="1" applyBorder="1"/>
    <x:xf numFmtId="0" fontId="11" fillId="0" borderId="14" xfId="0" applyNumberFormat="1" applyFont="1" applyFill="1" applyBorder="1"/>
    <x:xf numFmtId="0" fontId="11" fillId="0" borderId="15" xfId="0" applyNumberFormat="1" applyFont="1" applyFill="1" applyBorder="1"/>
    <x:xf numFmtId="0" fontId="11" fillId="0" borderId="13" xfId="0" applyNumberFormat="1" applyFont="1" applyFill="1" applyBorder="1" applyAlignment="1">
      <x:alignment wrapText="1"/>
    </x:xf>
    <x:xf numFmtId="0" fontId="11" fillId="0" borderId="14" xfId="0" applyNumberFormat="1" applyFont="1" applyFill="1" applyBorder="1" applyAlignment="1">
      <x:alignment wrapText="1"/>
    </x:xf>
    <x:xf numFmtId="0" fontId="11" fillId="0" borderId="15" xfId="0" applyNumberFormat="1" applyFont="1" applyFill="1" applyBorder="1" applyAlignment="1">
      <x:alignment wrapText="1"/>
    </x:xf>
    <x:xf numFmtId="0" fontId="11" fillId="0" borderId="13" xfId="0" applyNumberFormat="1" applyFont="1" applyFill="1" applyBorder="1" applyAlignment="1">
      <x:alignment vertical="top" wrapText="1"/>
    </x:xf>
    <x:xf numFmtId="0" fontId="11" fillId="0" borderId="14" xfId="0" applyNumberFormat="1" applyFont="1" applyFill="1" applyBorder="1" applyAlignment="1">
      <x:alignment vertical="top" wrapText="1"/>
    </x:xf>
    <x:xf numFmtId="0" fontId="11" fillId="0" borderId="15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45b14e0254bee" /><Relationship Type="http://schemas.openxmlformats.org/officeDocument/2006/relationships/theme" Target="/xl/theme/theme1.xml" Id="R268f058c98c247ad" /><Relationship Type="http://schemas.openxmlformats.org/officeDocument/2006/relationships/sharedStrings" Target="/xl/sharedStrings.xml" Id="Rd0dd0484dd8d49c5" /><Relationship Type="http://schemas.openxmlformats.org/officeDocument/2006/relationships/worksheet" Target="/xl/worksheets/sheet1.xml" Id="R6db12aaac5964256" /><Relationship Type="http://schemas.openxmlformats.org/officeDocument/2006/relationships/worksheet" Target="/xl/worksheets/sheet2.xml" Id="R9223beef110a44ed" /><Relationship Type="http://schemas.openxmlformats.org/officeDocument/2006/relationships/worksheet" Target="/xl/worksheets/sheet3.xml" Id="R40047b80a6aa44d3" /><Relationship Type="http://schemas.openxmlformats.org/officeDocument/2006/relationships/worksheet" Target="/xl/worksheets/sheet4.xml" Id="R7d6f14e0e1da4909" /><Relationship Type="http://schemas.openxmlformats.org/officeDocument/2006/relationships/worksheet" Target="/xl/worksheets/sheet5.xml" Id="Rf9f83e7ebfab4729" /></Relationships>
</file>

<file path=xl/tables/table1.xml><?xml version="1.0" encoding="utf-8"?>
<x:table xmlns:x="http://schemas.openxmlformats.org/spreadsheetml/2006/main" id="1" name="GluePoolV8" displayName="GluePoolV8" ref="A4:R85" headerRowCount="1" totalsRowCount="0" totalsRowShown="0">
  <x:tableColumns count="18">
    <x:tableColumn id="1" name="编号"/>
    <x:tableColumn id="2" name="名称"/>
    <x:tableColumn id="3" name="属性"/>
    <x:tableColumn id="4" name="桥接体系"/>
    <x:tableColumn id="5" name="稀有度"/>
    <x:tableColumn id="6" name="费用"/>
    <x:tableColumn id="7" name="类型"/>
    <x:tableColumn id="8" name="卡面效果"/>
    <x:tableColumn id="9" name="闭环说明"/>
    <x:tableColumn id="10" name="实现难度"/>
    <x:tableColumn id="11" name="来源"/>
    <x:tableColumn id="12" name="参考"/>
    <x:tableColumn id="13" name="原状态"/>
    <x:tableColumn id="14" name="同步／去重备注"/>
    <x:tableColumn id="15" name="执行状态"/>
    <x:tableColumn id="16" name="本轮审阅结论"/>
    <x:tableColumn id="17" name="升级后费用"/>
    <x:tableColumn id="18" name="升级效果（涉水已审）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GlueCombosV8" displayName="GlueCombosV8" ref="A3:D13" headerRowCount="1" totalsRowCount="0" totalsRowShown="0">
  <x:tableColumns count="4">
    <x:tableColumn id="1" name="属性组合"/>
    <x:tableColumn id="2" name="卡数"/>
    <x:tableColumn id="3" name="蓝卡"/>
    <x:tableColumn id="4" name="金卡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GlueMetricsV8" displayName="GlueMetricsV8" ref="F3:G7" headerRowCount="1" totalsRowCount="0" totalsRowShown="0">
  <x:tableColumns count="2">
    <x:tableColumn id="1" name="指标"/>
    <x:tableColumn id="2" name="结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lueChangesV8" displayName="GlueChangesV8" ref="A3:F17" headerRowCount="1" totalsRowCount="0" totalsRowShown="0">
  <x:tableColumns count="6">
    <x:tableColumn id="1" name="类别"/>
    <x:tableColumn id="2" name="编号"/>
    <x:tableColumn id="3" name="处理"/>
    <x:tableColumn id="4" name="旧状态"/>
    <x:tableColumn id="5" name="现行结果"/>
    <x:tableColumn id="6" name="日期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GlueRulesV8" displayName="GlueRulesV8" ref="A3:F10" headerRowCount="1" totalsRowCount="0" totalsRowShown="0">
  <x:tableColumns count="6">
    <x:tableColumn id="1" name="规则"/>
    <x:tableColumn id="2" name="定义"/>
    <x:tableColumn id="3" name="同步要求"/>
    <x:tableColumn id="4" name="禁止项"/>
    <x:tableColumn id="5" name="程序处理"/>
    <x:tableColumn id="6" name="状态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GlueSourcesV8" displayName="GlueSourcesV8" ref="A3:E9" headerRowCount="1" totalsRowCount="0" totalsRowShown="0">
  <x:tableColumns count="5">
    <x:tableColumn id="1" name="项目"/>
    <x:tableColumn id="2" name="版本／日期"/>
    <x:tableColumn id="3" name="用途"/>
    <x:tableColumn id="4" name="状态"/>
    <x:tableColumn id="5" name="说明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7702ee0b0f45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0eefd0af2a4338" /><Relationship Type="http://schemas.openxmlformats.org/officeDocument/2006/relationships/table" Target="/xl/tables/table3.xml" Id="Rc8aa335e275444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d9c95494e0ab4e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15bf6da46be44a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ad23796e897346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32" hidden="0" customWidth="1"/>
    <x:col min="5" max="5" width="10" hidden="0" customWidth="1"/>
    <x:col min="6" max="6" width="10" hidden="0" customWidth="1"/>
    <x:col min="7" max="7" width="12" hidden="0" customWidth="1"/>
    <x:col min="8" max="8" width="58" hidden="0" customWidth="1"/>
    <x:col min="9" max="9" width="55" hidden="0" customWidth="1"/>
    <x:col min="10" max="10" width="12" hidden="0" customWidth="1"/>
    <x:col min="11" max="11" width="20" hidden="0" customWidth="1"/>
    <x:col min="12" max="12" width="18" hidden="0" customWidth="1"/>
    <x:col min="13" max="13" width="16" hidden="0" customWidth="1"/>
    <x:col min="14" max="14" width="40" hidden="0" customWidth="1"/>
    <x:col min="15" max="15" width="18" hidden="0" customWidth="1"/>
    <x:col min="16" max="16" width="30" hidden="0" customWidth="1"/>
    <x:col min="17" max="17" width="12" hidden="0" customWidth="1"/>
    <x:col min="18" max="18" width="62" hidden="0" customWidth="1"/>
  </x:cols>
  <x:sheetData>
    <x:row r="1" ht="28" customHeight="1">
      <x:c r="A1" s="125" t="str">
        <x:v>双系胶水卡 V8｜水系升级同步版</x:v>
      </x:c>
      <x:c r="B1" s="125"/>
      <x:c r="C1" s="125"/>
      <x:c r="D1" s="125"/>
      <x:c r="E1" s="125"/>
      <x:c r="F1" s="125"/>
      <x:c r="G1" s="125"/>
      <x:c r="H1" s="125"/>
      <x:c r="I1" s="125"/>
      <x:c r="J1" s="125"/>
      <x:c r="K1" s="125"/>
      <x:c r="L1" s="125"/>
      <x:c r="M1" s="125"/>
      <x:c r="N1" s="125"/>
      <x:c r="O1" s="125"/>
      <x:c r="P1" s="125"/>
      <x:c r="Q1" s="125"/>
      <x:c r="R1" s="125"/>
    </x:row>
    <x:row r="2" ht="36" customHeight="1">
      <x:c r="A2" s="129" t="str">
        <x:v>共81张；其中35张涉水牌已同步基础与升级效果。旧L024因与光系V12编号冲突删除；其他属性牌升级字段等待所属属性审阅。</x:v>
      </x:c>
      <x:c r="B2" s="129"/>
      <x:c r="C2" s="129"/>
      <x:c r="D2" s="129"/>
      <x:c r="E2" s="129"/>
      <x:c r="F2" s="129"/>
      <x:c r="G2" s="129"/>
      <x:c r="H2" s="129"/>
      <x:c r="I2" s="129"/>
      <x:c r="J2" s="129"/>
      <x:c r="K2" s="129"/>
      <x:c r="L2" s="129"/>
      <x:c r="M2" s="129"/>
      <x:c r="N2" s="129"/>
      <x:c r="O2" s="129"/>
      <x:c r="P2" s="129"/>
      <x:c r="Q2" s="129"/>
      <x:c r="R2" s="129"/>
    </x:row>
    <x:row r="4" ht="25.5" customHeight="1">
      <x:c r="A4" s="135" t="str">
        <x:v>编号</x:v>
      </x:c>
      <x:c r="B4" s="135" t="str">
        <x:v>名称</x:v>
      </x:c>
      <x:c r="C4" s="135" t="str">
        <x:v>属性</x:v>
      </x:c>
      <x:c r="D4" s="135" t="str">
        <x:v>桥接体系</x:v>
      </x:c>
      <x:c r="E4" s="135" t="str">
        <x:v>稀有度</x:v>
      </x:c>
      <x:c r="F4" s="135" t="str">
        <x:v>费用</x:v>
      </x:c>
      <x:c r="G4" s="135" t="str">
        <x:v>类型</x:v>
      </x:c>
      <x:c r="H4" s="135" t="str">
        <x:v>卡面效果</x:v>
      </x:c>
      <x:c r="I4" s="135" t="str">
        <x:v>闭环说明</x:v>
      </x:c>
      <x:c r="J4" s="135" t="str">
        <x:v>实现难度</x:v>
      </x:c>
      <x:c r="K4" s="135" t="str">
        <x:v>来源</x:v>
      </x:c>
      <x:c r="L4" s="135" t="str">
        <x:v>参考</x:v>
      </x:c>
      <x:c r="M4" s="135" t="str">
        <x:v>原状态</x:v>
      </x:c>
      <x:c r="N4" s="135" t="str">
        <x:v>同步／去重备注</x:v>
      </x:c>
      <x:c r="O4" s="135" t="str">
        <x:v>执行状态</x:v>
      </x:c>
      <x:c r="P4" s="135" t="str">
        <x:v>本轮审阅结论</x:v>
      </x:c>
      <x:c r="Q4" s="135" t="str">
        <x:v>升级后费用</x:v>
      </x:c>
      <x:c r="R4" s="135" t="str">
        <x:v>升级效果（涉水已审）</x:v>
      </x:c>
    </x:row>
    <x:row r="5" ht="72" customHeight="1">
      <x:c r="A5" s="143" t="str">
        <x:v>BX009</x:v>
      </x:c>
      <x:c r="B5" s="143" t="str">
        <x:v>菌床遗歌</x:v>
      </x:c>
      <x:c r="C5" s="143" t="str">
        <x:v>暗·草</x:v>
      </x:c>
      <x:c r="D5" s="143" t="str">
        <x:v>遗言 ↔ 中毒</x:v>
      </x:c>
      <x:c r="E5" s="143" t="str">
        <x:v>金</x:v>
      </x:c>
      <x:c r="F5" s="143" t="str">
        <x:v>1</x:v>
      </x:c>
      <x:c r="G5" s="143" t="str">
        <x:v>能力</x:v>
      </x:c>
      <x:c r="H5" s="143" t="str">
        <x:v>本场战斗中，每当有牌因遗言被打出时，对随机1个敌人施加3层中毒。消耗。</x:v>
      </x:c>
      <x:c r="I5" s="143" t="str">
        <x:v>暗系用手牌弃置与卡组磨弃免费打出遗言牌，草系把每次实际打出沉淀为持续毒场。</x:v>
      </x:c>
      <x:c r="J5" s="143" t="str">
        <x:v>低</x:v>
      </x:c>
      <x:c r="K5" s="143" t="str">
        <x:v>V4执行池继承</x:v>
      </x:c>
      <x:c r="L5" s="143" t="str">
        <x:v>—</x:v>
      </x:c>
      <x:c r="M5" s="143" t="str">
        <x:v>V3遗言适配</x:v>
      </x:c>
      <x:c r="N5" s="143" t="str">
        <x:v>现有V3保留。</x:v>
      </x:c>
      <x:c r="O5" s="143" t="str">
        <x:v>审阅保留</x:v>
      </x:c>
      <x:c r="P5" s="143"/>
      <x:c r="Q5" s="143"/>
      <x:c r="R5" s="143"/>
    </x:row>
    <x:row r="6" ht="72" customHeight="1">
      <x:c r="A6" s="144" t="str">
        <x:v>BX010</x:v>
      </x:c>
      <x:c r="B6" s="144" t="str">
        <x:v>食腐</x:v>
      </x:c>
      <x:c r="C6" s="144" t="str">
        <x:v>暗·草</x:v>
      </x:c>
      <x:c r="D6" s="144" t="str">
        <x:v>猎获 ↔ 墓场永久升级</x:v>
      </x:c>
      <x:c r="E6" s="144" t="str">
        <x:v>蓝</x:v>
      </x:c>
      <x:c r="F6" s="144" t="str">
        <x:v>1</x:v>
      </x:c>
      <x:c r="G6" s="144" t="str">
        <x:v>伤害</x:v>
      </x:c>
      <x:c r="H6" s="144" t="str">
        <x:v>造成9点伤害。猎获：随机永久升级弃牌堆中1张可升级的牌。</x:v>
      </x:c>
      <x:c r="I6" s="144" t="str">
        <x:v>草系用斩杀赢得奖励，暗系墓场决定永久成长的候选范围；奖励直接强化玩家牌组中的实体牌。</x:v>
      </x:c>
      <x:c r="J6" s="144" t="str">
        <x:v>中</x:v>
      </x:c>
      <x:c r="K6" s="144" t="str">
        <x:v>V4执行池继承</x:v>
      </x:c>
      <x:c r="L6" s="144" t="str">
        <x:v>—</x:v>
      </x:c>
      <x:c r="M6" s="144" t="str">
        <x:v>已按评审修改</x:v>
      </x:c>
      <x:c r="N6" s="144" t="str">
        <x:v>去重保留：覆盖SG049；两者均以猎获随机永久升级牌，V3版本用弃牌堆限定目标，更像胶水卡。</x:v>
      </x:c>
      <x:c r="O6" s="144" t="str">
        <x:v>审阅保留</x:v>
      </x:c>
      <x:c r="P6" s="144"/>
      <x:c r="Q6" s="144"/>
      <x:c r="R6" s="144"/>
    </x:row>
    <x:row r="7" ht="72" customHeight="1">
      <x:c r="A7" s="144" t="str">
        <x:v>G016</x:v>
      </x:c>
      <x:c r="B7" s="144" t="str">
        <x:v>迷雾</x:v>
      </x:c>
      <x:c r="C7" s="144" t="str">
        <x:v>暗·草</x:v>
      </x:c>
      <x:c r="D7" s="144" t="str">
        <x:v>弃置奖励 ↔ 中毒</x:v>
      </x:c>
      <x:c r="E7" s="144" t="str">
        <x:v>蓝</x:v>
      </x:c>
      <x:c r="F7" s="144" t="n">
        <x:v>3</x:v>
      </x:c>
      <x:c r="G7" s="144" t="str">
        <x:v>技能</x:v>
      </x:c>
      <x:c r="H7" s="144" t="str">
        <x:v>弃置奖励：这张牌从手牌被弃置时，免费打出。对敌方全体施加4层中毒。</x:v>
      </x:c>
      <x:c r="I7" s="144" t="str">
        <x:v>暗系弃牌免费启动草系群体中毒。</x:v>
      </x:c>
      <x:c r="J7" s="144" t="str">
        <x:v>低</x:v>
      </x:c>
      <x:c r="K7" s="144" t="str">
        <x:v>属性主池同步</x:v>
      </x:c>
      <x:c r="L7" s="144" t="str">
        <x:v>—</x:v>
      </x:c>
      <x:c r="M7" s="144" t="str">
        <x:v>草系主池既有双系牌</x:v>
      </x:c>
      <x:c r="N7" s="144" t="str">
        <x:v>同编号同步，不建立复制卡。</x:v>
      </x:c>
      <x:c r="O7" s="144" t="str">
        <x:v>审阅保留</x:v>
      </x:c>
      <x:c r="P7" s="144" t="str">
        <x:v>补齐早期双系牌同步。</x:v>
      </x:c>
      <x:c r="Q7" s="144"/>
      <x:c r="R7" s="144"/>
    </x:row>
    <x:row r="8" ht="72" customHeight="1">
      <x:c r="A8" s="144" t="str">
        <x:v>SG025</x:v>
      </x:c>
      <x:c r="B8" s="144" t="str">
        <x:v>腐土萌发</x:v>
      </x:c>
      <x:c r="C8" s="144" t="str">
        <x:v>暗·草</x:v>
      </x:c>
      <x:c r="D8" s="144" t="str">
        <x:v>自残／污染牌／遗言／虚无 ↔ 中毒／荆棘／再生／树皮</x:v>
      </x:c>
      <x:c r="E8" s="144" t="str">
        <x:v>蓝</x:v>
      </x:c>
      <x:c r="F8" s="144" t="str">
        <x:v>1</x:v>
      </x:c>
      <x:c r="G8" s="144" t="str">
        <x:v>能力</x:v>
      </x:c>
      <x:c r="H8" s="144" t="str">
        <x:v>本场战斗中，有状态牌或诅咒牌因主动弃置或磨弃进入弃牌堆时，获得2层树皮。消耗。</x:v>
      </x:c>
      <x:c r="I8" s="144" t="str">
        <x:v>暗系处理污染牌，草系把处理事件变成持续防御。</x:v>
      </x:c>
      <x:c r="J8" s="144" t="str">
        <x:v>低</x:v>
      </x:c>
      <x:c r="K8" s="144" t="str">
        <x:v>前轮用户保留</x:v>
      </x:c>
      <x:c r="L8" s="144" t="str">
        <x:v>Evolve</x:v>
      </x:c>
      <x:c r="M8" s="144" t="str">
        <x:v>A</x:v>
      </x:c>
      <x:c r="N8" s="144" t="str">
        <x:v>用户修订后保留；本轮未判定为重复。</x:v>
      </x:c>
      <x:c r="O8" s="144" t="str">
        <x:v>审阅保留</x:v>
      </x:c>
      <x:c r="P8" s="144"/>
      <x:c r="Q8" s="144"/>
      <x:c r="R8" s="144"/>
    </x:row>
    <x:row r="9" ht="72" customHeight="1">
      <x:c r="A9" s="144" t="str">
        <x:v>SG026</x:v>
      </x:c>
      <x:c r="B9" s="144" t="str">
        <x:v>血育荆棘</x:v>
      </x:c>
      <x:c r="C9" s="144" t="str">
        <x:v>暗·草</x:v>
      </x:c>
      <x:c r="D9" s="144" t="str">
        <x:v>自残／污染牌／遗言／虚无 ↔ 中毒／荆棘／再生／树皮</x:v>
      </x:c>
      <x:c r="E9" s="144" t="str">
        <x:v>金</x:v>
      </x:c>
      <x:c r="F9" s="144" t="str">
        <x:v>1</x:v>
      </x:c>
      <x:c r="G9" s="144" t="str">
        <x:v>能力</x:v>
      </x:c>
      <x:c r="H9" s="144" t="str">
        <x:v>本场战斗中，因卡牌效果对自己造成伤害时，获得1点荆棘。消耗。</x:v>
      </x:c>
      <x:c r="I9" s="144" t="str">
        <x:v>自残不再只换即时资源，而会成长为草系反击轴。</x:v>
      </x:c>
      <x:c r="J9" s="144" t="str">
        <x:v>低</x:v>
      </x:c>
      <x:c r="K9" s="144" t="str">
        <x:v>前轮用户保留</x:v>
      </x:c>
      <x:c r="L9" s="144" t="str">
        <x:v>Rupture</x:v>
      </x:c>
      <x:c r="M9" s="144" t="str">
        <x:v>A</x:v>
      </x:c>
      <x:c r="N9" s="144" t="str">
        <x:v>用户修订后保留；本轮未判定为重复。</x:v>
      </x:c>
      <x:c r="O9" s="144" t="str">
        <x:v>审阅保留</x:v>
      </x:c>
      <x:c r="P9" s="144"/>
      <x:c r="Q9" s="144"/>
      <x:c r="R9" s="144"/>
    </x:row>
    <x:row r="10" ht="72" customHeight="1">
      <x:c r="A10" s="144" t="str">
        <x:v>SG027</x:v>
      </x:c>
      <x:c r="B10" s="144" t="str">
        <x:v>空土返青</x:v>
      </x:c>
      <x:c r="C10" s="144" t="str">
        <x:v>暗·草</x:v>
      </x:c>
      <x:c r="D10" s="144" t="str">
        <x:v>自残／污染牌／遗言／虚无 ↔ 中毒／荆棘／再生／树皮</x:v>
      </x:c>
      <x:c r="E10" s="144" t="str">
        <x:v>蓝</x:v>
      </x:c>
      <x:c r="F10" s="144" t="str">
        <x:v>1</x:v>
      </x:c>
      <x:c r="G10" s="144" t="str">
        <x:v>技能</x:v>
      </x:c>
      <x:c r="H10" s="144" t="str">
        <x:v>获得5点护盾。虚无：获得3层再生。</x:v>
      </x:c>
      <x:c r="I10" s="144" t="str">
        <x:v>暗系清空手牌后，草系提供跨回合恢复。</x:v>
      </x:c>
      <x:c r="J10" s="144" t="str">
        <x:v>低</x:v>
      </x:c>
      <x:c r="K10" s="144" t="str">
        <x:v>前轮用户保留</x:v>
      </x:c>
      <x:c r="L10" s="144" t="str">
        <x:v>Empty Mind／Self Repair</x:v>
      </x:c>
      <x:c r="M10" s="144" t="str">
        <x:v>A</x:v>
      </x:c>
      <x:c r="N10" s="144" t="str">
        <x:v>用户修订后保留；本轮未判定为重复。</x:v>
      </x:c>
      <x:c r="O10" s="144" t="str">
        <x:v>审阅保留</x:v>
      </x:c>
      <x:c r="P10" s="144"/>
      <x:c r="Q10" s="144"/>
      <x:c r="R10" s="144"/>
    </x:row>
    <x:row r="11" ht="72" customHeight="1">
      <x:c r="A11" s="144" t="str">
        <x:v>SG028</x:v>
      </x:c>
      <x:c r="B11" s="144" t="str">
        <x:v>毒誓遗言</x:v>
      </x:c>
      <x:c r="C11" s="144" t="str">
        <x:v>暗·草</x:v>
      </x:c>
      <x:c r="D11" s="144" t="str">
        <x:v>自残／污染牌／遗言／虚无 ↔ 中毒／荆棘／再生／树皮</x:v>
      </x:c>
      <x:c r="E11" s="144" t="str">
        <x:v>蓝</x:v>
      </x:c>
      <x:c r="F11" s="144" t="str">
        <x:v>2</x:v>
      </x:c>
      <x:c r="G11" s="144" t="str">
        <x:v>技能</x:v>
      </x:c>
      <x:c r="H11" s="144" t="str">
        <x:v>遗言。对敌方全体施加3层中毒。</x:v>
      </x:c>
      <x:c r="I11" s="144" t="str">
        <x:v>主动弃置与磨弃免费启动草系群体中毒。</x:v>
      </x:c>
      <x:c r="J11" s="144" t="str">
        <x:v>低</x:v>
      </x:c>
      <x:c r="K11" s="144" t="str">
        <x:v>前轮用户保留</x:v>
      </x:c>
      <x:c r="L11" s="144" t="str">
        <x:v>Reflex／Deadly Poison</x:v>
      </x:c>
      <x:c r="M11" s="144" t="str">
        <x:v>A</x:v>
      </x:c>
      <x:c r="N11" s="144" t="str">
        <x:v>用户修订后保留；本轮未判定为重复。</x:v>
      </x:c>
      <x:c r="O11" s="144" t="str">
        <x:v>审阅保留</x:v>
      </x:c>
      <x:c r="P11" s="144"/>
      <x:c r="Q11" s="144"/>
      <x:c r="R11" s="144"/>
    </x:row>
    <x:row r="12" ht="72" customHeight="1">
      <x:c r="A12" s="144" t="str">
        <x:v>SG029</x:v>
      </x:c>
      <x:c r="B12" s="144" t="str">
        <x:v>食尸蔓</x:v>
      </x:c>
      <x:c r="C12" s="144" t="str">
        <x:v>暗·草</x:v>
      </x:c>
      <x:c r="D12" s="144" t="str">
        <x:v>自残／污染牌／遗言／虚无 ↔ 中毒／荆棘／再生／树皮</x:v>
      </x:c>
      <x:c r="E12" s="144" t="str">
        <x:v>金</x:v>
      </x:c>
      <x:c r="F12" s="144" t="str">
        <x:v>1</x:v>
      </x:c>
      <x:c r="G12" s="144" t="str">
        <x:v>能力</x:v>
      </x:c>
      <x:c r="H12" s="144" t="str">
        <x:v>本场战斗中，每当敌人死亡时，将抽牌堆顶1张牌置入弃牌堆；若以此法触发遗言，对随机1个敌人施加3层中毒。消耗。</x:v>
      </x:c>
      <x:c r="I12" s="144" t="str">
        <x:v>死亡制造磨弃，磨弃命中遗言后再铺毒。</x:v>
      </x:c>
      <x:c r="J12" s="144" t="str">
        <x:v>中</x:v>
      </x:c>
      <x:c r="K12" s="144" t="str">
        <x:v>前轮用户保留</x:v>
      </x:c>
      <x:c r="L12" s="144" t="str">
        <x:v>Corpse Explosion／Feed</x:v>
      </x:c>
      <x:c r="M12" s="144" t="str">
        <x:v>B</x:v>
      </x:c>
      <x:c r="N12" s="144" t="str">
        <x:v>用户修订后保留；本轮未判定为重复。</x:v>
      </x:c>
      <x:c r="O12" s="144" t="str">
        <x:v>审阅保留</x:v>
      </x:c>
      <x:c r="P12" s="144"/>
      <x:c r="Q12" s="144"/>
      <x:c r="R12" s="144"/>
    </x:row>
    <x:row r="13" ht="72" customHeight="1">
      <x:c r="A13" s="144" t="str">
        <x:v>SG030</x:v>
      </x:c>
      <x:c r="B13" s="144" t="str">
        <x:v>墓床孢子</x:v>
      </x:c>
      <x:c r="C13" s="144" t="str">
        <x:v>暗·草</x:v>
      </x:c>
      <x:c r="D13" s="144" t="str">
        <x:v>自残／污染牌／遗言／虚无 ↔ 中毒／荆棘／再生／树皮</x:v>
      </x:c>
      <x:c r="E13" s="144" t="str">
        <x:v>蓝</x:v>
      </x:c>
      <x:c r="F13" s="144" t="str">
        <x:v>1</x:v>
      </x:c>
      <x:c r="G13" s="144" t="str">
        <x:v>技能</x:v>
      </x:c>
      <x:c r="H13" s="144" t="str">
        <x:v>将抽牌堆顶3张牌置入弃牌堆。其中每有1张状态牌或诅咒牌，对随机1个敌人施加3层中毒。</x:v>
      </x:c>
      <x:c r="I13" s="144" t="str">
        <x:v>暗系磨弃寻找污染牌，草系把命中结果转成毒。</x:v>
      </x:c>
      <x:c r="J13" s="144" t="str">
        <x:v>低</x:v>
      </x:c>
      <x:c r="K13" s="144" t="str">
        <x:v>前轮用户保留</x:v>
      </x:c>
      <x:c r="L13" s="144" t="str">
        <x:v>Noxious Fumes／Scrape</x:v>
      </x:c>
      <x:c r="M13" s="144" t="str">
        <x:v>A</x:v>
      </x:c>
      <x:c r="N13" s="144" t="str">
        <x:v>用户修订后保留；本轮未判定为重复。</x:v>
      </x:c>
      <x:c r="O13" s="144" t="str">
        <x:v>审阅保留</x:v>
      </x:c>
      <x:c r="P13" s="144"/>
      <x:c r="Q13" s="144"/>
      <x:c r="R13" s="144"/>
    </x:row>
    <x:row r="14" ht="72" customHeight="1">
      <x:c r="A14" s="144" t="str">
        <x:v>BX013</x:v>
      </x:c>
      <x:c r="B14" s="144" t="str">
        <x:v>忏悔</x:v>
      </x:c>
      <x:c r="C14" s="144" t="str">
        <x:v>暗·光</x:v>
      </x:c>
      <x:c r="D14" s="144" t="str">
        <x:v>主动弃牌 ↔ 神启</x:v>
      </x:c>
      <x:c r="E14" s="144" t="str">
        <x:v>蓝</x:v>
      </x:c>
      <x:c r="F14" s="144" t="str">
        <x:v>0</x:v>
      </x:c>
      <x:c r="G14" s="144" t="str">
        <x:v>技能</x:v>
      </x:c>
      <x:c r="H14" s="144" t="str">
        <x:v>主动弃置1张手牌。获得N点祷念（N=该牌的能量费用+1）。消耗。</x:v>
      </x:c>
      <x:c r="I14" s="144" t="str">
        <x:v>暗系把手牌价值作为代价，光系将其转化为神临进度；高费废牌因此获得新的退出通道。</x:v>
      </x:c>
      <x:c r="J14" s="144" t="str">
        <x:v>低</x:v>
      </x:c>
      <x:c r="K14" s="144" t="str">
        <x:v>V4执行池继承</x:v>
      </x:c>
      <x:c r="L14" s="144" t="str">
        <x:v>—</x:v>
      </x:c>
      <x:c r="M14" s="144" t="str">
        <x:v>保留</x:v>
      </x:c>
      <x:c r="N14" s="144" t="str">
        <x:v>现有V3保留。</x:v>
      </x:c>
      <x:c r="O14" s="144" t="str">
        <x:v>审阅保留</x:v>
      </x:c>
      <x:c r="P14" s="144"/>
      <x:c r="Q14" s="144"/>
      <x:c r="R14" s="144"/>
    </x:row>
    <x:row r="15" ht="72" customHeight="1">
      <x:c r="A15" s="144" t="str">
        <x:v>L006</x:v>
      </x:c>
      <x:c r="B15" s="144" t="str">
        <x:v>苦修</x:v>
      </x:c>
      <x:c r="C15" s="144" t="str">
        <x:v>暗·光</x:v>
      </x:c>
      <x:c r="D15" s="144" t="str">
        <x:v>自残 ↔ 神启</x:v>
      </x:c>
      <x:c r="E15" s="144" t="str">
        <x:v>蓝</x:v>
      </x:c>
      <x:c r="F15" s="144" t="n">
        <x:v>0</x:v>
      </x:c>
      <x:c r="G15" s="144" t="str">
        <x:v>技能</x:v>
      </x:c>
      <x:c r="H15" s="144" t="str">
        <x:v>失去3点生命。获得4点祷念。消耗。</x:v>
      </x:c>
      <x:c r="I15" s="144" t="str">
        <x:v>暗系支付生命，光系快速推进神临。</x:v>
      </x:c>
      <x:c r="J15" s="144" t="str">
        <x:v>低</x:v>
      </x:c>
      <x:c r="K15" s="144" t="str">
        <x:v>属性主池同步</x:v>
      </x:c>
      <x:c r="L15" s="144" t="str">
        <x:v>—</x:v>
      </x:c>
      <x:c r="M15" s="144" t="str">
        <x:v>光系主池审阅保留</x:v>
      </x:c>
      <x:c r="N15" s="144" t="str">
        <x:v>同编号同步，不建立复制卡。</x:v>
      </x:c>
      <x:c r="O15" s="144" t="str">
        <x:v>审阅保留</x:v>
      </x:c>
      <x:c r="P15" s="144" t="str">
        <x:v>保留在光系主池，同时进入胶水池。</x:v>
      </x:c>
      <x:c r="Q15" s="144"/>
      <x:c r="R15" s="144"/>
    </x:row>
    <x:row r="16" ht="72" customHeight="1">
      <x:c r="A16" s="144" t="str">
        <x:v>L023</x:v>
      </x:c>
      <x:c r="B16" s="144" t="str">
        <x:v>战意启示</x:v>
      </x:c>
      <x:c r="C16" s="144" t="str">
        <x:v>暗·光</x:v>
      </x:c>
      <x:c r="D16" s="144" t="str">
        <x:v>伤害牌池 ↔ 生成牌</x:v>
      </x:c>
      <x:c r="E16" s="144" t="str">
        <x:v>白</x:v>
      </x:c>
      <x:c r="F16" s="144" t="n">
        <x:v>0</x:v>
      </x:c>
      <x:c r="G16" s="144" t="str">
        <x:v>技能</x:v>
      </x:c>
      <x:c r="H16" s="144" t="str">
        <x:v>随机生成1张伤害牌加入手牌。其费用在本回合-1（最低为0）。消耗。</x:v>
      </x:c>
      <x:c r="I16" s="144" t="str">
        <x:v>以暗·光配对限定伤害牌生成入口，并与神临自然联动。</x:v>
      </x:c>
      <x:c r="J16" s="144" t="str">
        <x:v>低</x:v>
      </x:c>
      <x:c r="K16" s="144" t="str">
        <x:v>属性主池同步</x:v>
      </x:c>
      <x:c r="L16" s="144" t="str">
        <x:v>—</x:v>
      </x:c>
      <x:c r="M16" s="144" t="str">
        <x:v>光系主池审阅保留</x:v>
      </x:c>
      <x:c r="N16" s="144" t="str">
        <x:v>同编号同步，不建立复制卡。</x:v>
      </x:c>
      <x:c r="O16" s="144" t="str">
        <x:v>审阅保留</x:v>
      </x:c>
      <x:c r="P16" s="144" t="str">
        <x:v>保留在光系主池，同时进入胶水池。</x:v>
      </x:c>
      <x:c r="Q16" s="144"/>
      <x:c r="R16" s="144"/>
    </x:row>
    <x:row r="17" ht="72" customHeight="1">
      <x:c r="A17" s="144" t="str">
        <x:v>L045</x:v>
      </x:c>
      <x:c r="B17" s="144" t="str">
        <x:v>散羽</x:v>
      </x:c>
      <x:c r="C17" s="144" t="str">
        <x:v>暗·光</x:v>
      </x:c>
      <x:c r="D17" s="144" t="str">
        <x:v>主动弃置 ↔ 光羽</x:v>
      </x:c>
      <x:c r="E17" s="144" t="str">
        <x:v>金</x:v>
      </x:c>
      <x:c r="F17" s="144" t="n">
        <x:v>1</x:v>
      </x:c>
      <x:c r="G17" s="144" t="str">
        <x:v>技能</x:v>
      </x:c>
      <x:c r="H17" s="144" t="str">
        <x:v>主动弃置手牌中所有其他牌。每主动弃置1张牌，将1张【光羽】加入手牌。</x:v>
      </x:c>
      <x:c r="I17" s="144" t="str">
        <x:v>暗系把主动弃置转化为光系低费伤害牌爆发。</x:v>
      </x:c>
      <x:c r="J17" s="144" t="str">
        <x:v>低</x:v>
      </x:c>
      <x:c r="K17" s="144" t="str">
        <x:v>属性主池同步</x:v>
      </x:c>
      <x:c r="L17" s="144" t="str">
        <x:v>Storm of Steel</x:v>
      </x:c>
      <x:c r="M17" s="144" t="str">
        <x:v>光系主池审阅保留</x:v>
      </x:c>
      <x:c r="N17" s="144" t="str">
        <x:v>同编号同步，不建立复制卡。</x:v>
      </x:c>
      <x:c r="O17" s="144" t="str">
        <x:v>审阅保留</x:v>
      </x:c>
      <x:c r="P17" s="144" t="str">
        <x:v>保留在光系主池，同时进入胶水池。</x:v>
      </x:c>
      <x:c r="Q17" s="144"/>
      <x:c r="R17" s="144"/>
    </x:row>
    <x:row r="18" ht="72" customHeight="1">
      <x:c r="A18" s="144" t="str">
        <x:v>SG037</x:v>
      </x:c>
      <x:c r="B18" s="144" t="str">
        <x:v>亵光</x:v>
      </x:c>
      <x:c r="C18" s="144" t="str">
        <x:v>暗·光</x:v>
      </x:c>
      <x:c r="D18" s="144" t="str">
        <x:v>遗言／污染牌／虚无／借命 ↔ 神临／神启／生成牌／光羽</x:v>
      </x:c>
      <x:c r="E18" s="144" t="str">
        <x:v>金</x:v>
      </x:c>
      <x:c r="F18" s="144" t="str">
        <x:v>1</x:v>
      </x:c>
      <x:c r="G18" s="144" t="str">
        <x:v>技能</x:v>
      </x:c>
      <x:c r="H18" s="144" t="str">
        <x:v>进入神临。下回合开始时受到9999点伤害。消耗。</x:v>
      </x:c>
      <x:c r="I18" s="144" t="str">
        <x:v>光系获得立刻神临，暗系承担可被特殊手段规避的极端债务。</x:v>
      </x:c>
      <x:c r="J18" s="144" t="str">
        <x:v>低</x:v>
      </x:c>
      <x:c r="K18" s="144" t="str">
        <x:v>前轮用户保留</x:v>
      </x:c>
      <x:c r="L18" s="144" t="str">
        <x:v>Blasphemy</x:v>
      </x:c>
      <x:c r="M18" s="144" t="str">
        <x:v>A</x:v>
      </x:c>
      <x:c r="N18" s="144" t="str">
        <x:v>用户修订后保留；本轮未判定为重复。</x:v>
      </x:c>
      <x:c r="O18" s="144" t="str">
        <x:v>审阅保留</x:v>
      </x:c>
      <x:c r="P18" s="144"/>
      <x:c r="Q18" s="144"/>
      <x:c r="R18" s="144"/>
    </x:row>
    <x:row r="19" ht="72" customHeight="1">
      <x:c r="A19" s="144" t="str">
        <x:v>SG038</x:v>
      </x:c>
      <x:c r="B19" s="144" t="str">
        <x:v>忏悔灰</x:v>
      </x:c>
      <x:c r="C19" s="144" t="str">
        <x:v>暗·光</x:v>
      </x:c>
      <x:c r="D19" s="144" t="str">
        <x:v>遗言／污染牌／虚无／借命 ↔ 神临／神启／生成牌／光羽</x:v>
      </x:c>
      <x:c r="E19" s="144" t="str">
        <x:v>蓝</x:v>
      </x:c>
      <x:c r="F19" s="144" t="str">
        <x:v>1</x:v>
      </x:c>
      <x:c r="G19" s="144" t="str">
        <x:v>能力</x:v>
      </x:c>
      <x:c r="H19" s="144" t="str">
        <x:v>本场战斗中，每当状态牌或诅咒牌因主动弃置或磨弃进入弃牌堆时，获得3点祷念。消耗。</x:v>
      </x:c>
      <x:c r="I19" s="144" t="str">
        <x:v>暗系处理污染牌，稳定推进光系神启。</x:v>
      </x:c>
      <x:c r="J19" s="144" t="str">
        <x:v>低</x:v>
      </x:c>
      <x:c r="K19" s="144" t="str">
        <x:v>前轮用户保留</x:v>
      </x:c>
      <x:c r="L19" s="144" t="str">
        <x:v>Tactician／Pray</x:v>
      </x:c>
      <x:c r="M19" s="144" t="str">
        <x:v>A</x:v>
      </x:c>
      <x:c r="N19" s="144" t="str">
        <x:v>用户修订后保留；本轮未判定为重复。</x:v>
      </x:c>
      <x:c r="O19" s="144" t="str">
        <x:v>审阅保留</x:v>
      </x:c>
      <x:c r="P19" s="144" t="str">
        <x:v>涉光复审：稀有度改为蓝；神启2→3。</x:v>
      </x:c>
      <x:c r="Q19" s="144"/>
      <x:c r="R19" s="144"/>
    </x:row>
    <x:row r="20" ht="72" customHeight="1">
      <x:c r="A20" s="144" t="str">
        <x:v>SG039</x:v>
      </x:c>
      <x:c r="B20" s="144" t="str">
        <x:v>羽葬</x:v>
      </x:c>
      <x:c r="C20" s="144" t="str">
        <x:v>暗·光</x:v>
      </x:c>
      <x:c r="D20" s="144" t="str">
        <x:v>遗言／污染牌／虚无／借命 ↔ 神临／神启／生成牌／光羽</x:v>
      </x:c>
      <x:c r="E20" s="144" t="str">
        <x:v>蓝</x:v>
      </x:c>
      <x:c r="F20" s="144" t="str">
        <x:v>2</x:v>
      </x:c>
      <x:c r="G20" s="144" t="str">
        <x:v>技能</x:v>
      </x:c>
      <x:c r="H20" s="144" t="str">
        <x:v>遗言。将2张【光羽】加入手牌。</x:v>
      </x:c>
      <x:c r="I20" s="144" t="str">
        <x:v>暗系弃牌或磨弃免费启动光羽回合。</x:v>
      </x:c>
      <x:c r="J20" s="144" t="str">
        <x:v>低</x:v>
      </x:c>
      <x:c r="K20" s="144" t="str">
        <x:v>前轮用户保留</x:v>
      </x:c>
      <x:c r="L20" s="144" t="str">
        <x:v>Reflex／Blade Dance</x:v>
      </x:c>
      <x:c r="M20" s="144" t="str">
        <x:v>A</x:v>
      </x:c>
      <x:c r="N20" s="144" t="str">
        <x:v>用户修订后保留；本轮未判定为重复。</x:v>
      </x:c>
      <x:c r="O20" s="144" t="str">
        <x:v>审阅保留</x:v>
      </x:c>
      <x:c r="P20" s="144"/>
      <x:c r="Q20" s="144"/>
      <x:c r="R20" s="144"/>
    </x:row>
    <x:row r="21" ht="72" customHeight="1">
      <x:c r="A21" s="144" t="str">
        <x:v>SG040</x:v>
      </x:c>
      <x:c r="B21" s="144" t="str">
        <x:v>空手启示</x:v>
      </x:c>
      <x:c r="C21" s="144" t="str">
        <x:v>暗·光</x:v>
      </x:c>
      <x:c r="D21" s="144" t="str">
        <x:v>遗言／污染牌／虚无／借命 ↔ 神临／神启／生成牌／光羽</x:v>
      </x:c>
      <x:c r="E21" s="144" t="str">
        <x:v>金</x:v>
      </x:c>
      <x:c r="F21" s="144" t="str">
        <x:v>1</x:v>
      </x:c>
      <x:c r="G21" s="144" t="str">
        <x:v>技能</x:v>
      </x:c>
      <x:c r="H21" s="144" t="str">
        <x:v>虚无：随机生成3张牌加入手牌。它们的费用在本回合降为0。</x:v>
      </x:c>
      <x:c r="I21" s="144" t="str">
        <x:v>暗系清空手牌后，由光系以3张0费随机牌重新装填。</x:v>
      </x:c>
      <x:c r="J21" s="144" t="str">
        <x:v>中</x:v>
      </x:c>
      <x:c r="K21" s="144" t="str">
        <x:v>前轮用户保留</x:v>
      </x:c>
      <x:c r="L21" s="144" t="str">
        <x:v>Scrawl／Discovery</x:v>
      </x:c>
      <x:c r="M21" s="144" t="str">
        <x:v>A</x:v>
      </x:c>
      <x:c r="N21" s="144" t="str">
        <x:v>用户修订后保留；本轮未判定为重复。</x:v>
      </x:c>
      <x:c r="O21" s="144" t="str">
        <x:v>审阅保留</x:v>
      </x:c>
      <x:c r="P21" s="144" t="str">
        <x:v>涉光复审：取消三选二，改为随机生成3张且本回合0费。</x:v>
      </x:c>
      <x:c r="Q21" s="144"/>
      <x:c r="R21" s="144"/>
    </x:row>
    <x:row r="22" ht="72" customHeight="1">
      <x:c r="A22" s="144" t="str">
        <x:v>SG041</x:v>
      </x:c>
      <x:c r="B22" s="144" t="str">
        <x:v>遗像祝福</x:v>
      </x:c>
      <x:c r="C22" s="144" t="str">
        <x:v>暗·光</x:v>
      </x:c>
      <x:c r="D22" s="144" t="str">
        <x:v>遗言／污染牌／虚无／借命 ↔ 神临／神启／生成牌／光羽</x:v>
      </x:c>
      <x:c r="E22" s="144" t="str">
        <x:v>金</x:v>
      </x:c>
      <x:c r="F22" s="144" t="str">
        <x:v>1</x:v>
      </x:c>
      <x:c r="G22" s="144" t="str">
        <x:v>能力</x:v>
      </x:c>
      <x:c r="H22" s="144" t="str">
        <x:v>本场战斗中，由状态牌或诅咒牌转化而来的牌均为升级版。消耗。</x:v>
      </x:c>
      <x:c r="I22" s="144" t="str">
        <x:v>暗系转化污染牌，光系强化生成结果。</x:v>
      </x:c>
      <x:c r="J22" s="144" t="str">
        <x:v>低</x:v>
      </x:c>
      <x:c r="K22" s="144" t="str">
        <x:v>前轮用户保留</x:v>
      </x:c>
      <x:c r="L22" s="144" t="str">
        <x:v>Master Reality／Second Wind</x:v>
      </x:c>
      <x:c r="M22" s="144" t="str">
        <x:v>B</x:v>
      </x:c>
      <x:c r="N22" s="144" t="str">
        <x:v>用户修订后保留；本轮未判定为重复。</x:v>
      </x:c>
      <x:c r="O22" s="144" t="str">
        <x:v>审阅保留</x:v>
      </x:c>
      <x:c r="P22" s="144"/>
      <x:c r="Q22" s="144"/>
      <x:c r="R22" s="144"/>
    </x:row>
    <x:row r="23" ht="72" customHeight="1">
      <x:c r="A23" s="144" t="str">
        <x:v>BX011</x:v>
      </x:c>
      <x:c r="B23" s="144" t="str">
        <x:v>空潮</x:v>
      </x:c>
      <x:c r="C23" s="144" t="str">
        <x:v>暗·水</x:v>
      </x:c>
      <x:c r="D23" s="144" t="str">
        <x:v>主动弃牌／虚无 ↔ 泡影</x:v>
      </x:c>
      <x:c r="E23" s="144" t="str">
        <x:v>蓝</x:v>
      </x:c>
      <x:c r="F23" s="144" t="str">
        <x:v>0</x:v>
      </x:c>
      <x:c r="G23" s="144" t="str">
        <x:v>技能</x:v>
      </x:c>
      <x:c r="H23" s="144" t="str">
        <x:v>主动弃置1张手牌。虚无：获得1层泡影。消耗。</x:v>
      </x:c>
      <x:c r="I23" s="144" t="str">
        <x:v>暗系主动清空手牌，转化为水系防御窗口；泡影让虚无回合不必只追求进攻。</x:v>
      </x:c>
      <x:c r="J23" s="144" t="str">
        <x:v>低</x:v>
      </x:c>
      <x:c r="K23" s="144" t="str">
        <x:v>V4执行池继承</x:v>
      </x:c>
      <x:c r="L23" s="144" t="str">
        <x:v>—</x:v>
      </x:c>
      <x:c r="M23" s="144" t="str">
        <x:v>保留</x:v>
      </x:c>
      <x:c r="N23" s="144" t="str">
        <x:v>去重保留：覆盖SG035；两者均以虚无／空手兑现1层泡影，V3版本更精简。</x:v>
      </x:c>
      <x:c r="O23" s="144" t="str">
        <x:v>基础与升级审阅定稿</x:v>
      </x:c>
      <x:c r="P23" s="144" t="str">
        <x:v>涉水复审：改为虚无触发泡影。；2026-08-15水系升级同步。</x:v>
      </x:c>
      <x:c r="Q23" s="144" t="str">
        <x:v>0</x:v>
      </x:c>
      <x:c r="R23" s="144" t="str">
        <x:v>主动弃置1张手牌。虚无：获得2层泡影。消耗。</x:v>
      </x:c>
    </x:row>
    <x:row r="24" ht="72" customHeight="1">
      <x:c r="A24" s="144" t="str">
        <x:v>BX012</x:v>
      </x:c>
      <x:c r="B24" s="144" t="str">
        <x:v>沉底回流</x:v>
      </x:c>
      <x:c r="C24" s="144" t="str">
        <x:v>暗·水</x:v>
      </x:c>
      <x:c r="D24" s="144" t="str">
        <x:v>从抽牌堆弃置 ↔ 牌堆减费</x:v>
      </x:c>
      <x:c r="E24" s="144" t="str">
        <x:v>蓝</x:v>
      </x:c>
      <x:c r="F24" s="144" t="str">
        <x:v>1</x:v>
      </x:c>
      <x:c r="G24" s="144" t="str">
        <x:v>技能</x:v>
      </x:c>
      <x:c r="H24" s="144" t="str">
        <x:v>将抽牌堆顶3张牌置入弃牌堆。从这些牌中选择1张，其本场战斗中费用-1（最低为0）。</x:v>
      </x:c>
      <x:c r="I24" s="144" t="str">
        <x:v>暗系快速建立墓场，水系提前投资未来抽回或取回的牌；取回组件能立即兑现减费。</x:v>
      </x:c>
      <x:c r="J24" s="144" t="str">
        <x:v>中</x:v>
      </x:c>
      <x:c r="K24" s="144" t="str">
        <x:v>V4执行池继承</x:v>
      </x:c>
      <x:c r="L24" s="144" t="str">
        <x:v>—</x:v>
      </x:c>
      <x:c r="M24" s="144" t="str">
        <x:v>保留</x:v>
      </x:c>
      <x:c r="N24" s="144" t="str">
        <x:v>现有V3保留。</x:v>
      </x:c>
      <x:c r="O24" s="144" t="str">
        <x:v>基础与升级审阅定稿</x:v>
      </x:c>
      <x:c r="P24" s="144" t="str">
        <x:v>2026-08-15水系升级同步。</x:v>
      </x:c>
      <x:c r="Q24" s="144" t="str">
        <x:v>1</x:v>
      </x:c>
      <x:c r="R24" s="144" t="str">
        <x:v>将抽牌堆顶4张牌置入弃牌堆。从这些牌中选择2张，使其本场战斗中费用-1（最低为0）。</x:v>
      </x:c>
    </x:row>
    <x:row r="25" ht="72" customHeight="1">
      <x:c r="A25" s="144" t="str">
        <x:v>SG031</x:v>
      </x:c>
      <x:c r="B25" s="144" t="str">
        <x:v>零潮回收</x:v>
      </x:c>
      <x:c r="C25" s="144" t="str">
        <x:v>暗·水</x:v>
      </x:c>
      <x:c r="D25" s="144" t="str">
        <x:v>自残／弃牌／墓场／虚无 ↔ 减费／X费／泡影／虚弱</x:v>
      </x:c>
      <x:c r="E25" s="144" t="str">
        <x:v>金</x:v>
      </x:c>
      <x:c r="F25" s="144" t="n">
        <x:v>1</x:v>
      </x:c>
      <x:c r="G25" s="144" t="str">
        <x:v>伤害</x:v>
      </x:c>
      <x:c r="H25" s="144" t="str">
        <x:v>造成10点伤害。从弃牌堆将所有当前费用为0的牌加入手牌。</x:v>
      </x:c>
      <x:c r="I25" s="144" t="str">
        <x:v>水系减费决定暗系墓场能回收哪些牌。</x:v>
      </x:c>
      <x:c r="J25" s="144" t="str">
        <x:v>中</x:v>
      </x:c>
      <x:c r="K25" s="144" t="str">
        <x:v>前轮用户保留</x:v>
      </x:c>
      <x:c r="L25" s="144" t="str">
        <x:v>All for One</x:v>
      </x:c>
      <x:c r="M25" s="144" t="str">
        <x:v>A</x:v>
      </x:c>
      <x:c r="N25" s="144" t="str">
        <x:v>用户修订后保留；本轮未判定为重复。</x:v>
      </x:c>
      <x:c r="O25" s="144" t="str">
        <x:v>基础与升级审阅定稿</x:v>
      </x:c>
      <x:c r="P25" s="144" t="str">
        <x:v>涉水复审：1费，去掉消耗。；2026-08-15水系升级同步。</x:v>
      </x:c>
      <x:c r="Q25" s="144" t="n">
        <x:v>1</x:v>
      </x:c>
      <x:c r="R25" s="144" t="str">
        <x:v>造成15点伤害。从弃牌堆将所有当前费用为0的牌加入手牌。</x:v>
      </x:c>
    </x:row>
    <x:row r="26" ht="72" customHeight="1">
      <x:c r="A26" s="144" t="str">
        <x:v>SG033</x:v>
      </x:c>
      <x:c r="B26" s="144" t="str">
        <x:v>弃浪压迫</x:v>
      </x:c>
      <x:c r="C26" s="144" t="str">
        <x:v>暗·水</x:v>
      </x:c>
      <x:c r="D26" s="144" t="str">
        <x:v>自残／弃牌／墓场／虚无 ↔ 减费／X费／泡影／虚弱</x:v>
      </x:c>
      <x:c r="E26" s="144" t="str">
        <x:v>金</x:v>
      </x:c>
      <x:c r="F26" s="144" t="str">
        <x:v>1</x:v>
      </x:c>
      <x:c r="G26" s="144" t="str">
        <x:v>技能</x:v>
      </x:c>
      <x:c r="H26" s="144" t="str">
        <x:v>主动弃置任意张手牌。对目标施加X回合虚弱（X=主动弃置的牌数）。消耗。</x:v>
      </x:c>
      <x:c r="I26" s="144" t="str">
        <x:v>暗系弃牌数量决定水系虚弱持续时间。</x:v>
      </x:c>
      <x:c r="J26" s="144" t="str">
        <x:v>低</x:v>
      </x:c>
      <x:c r="K26" s="144" t="str">
        <x:v>前轮用户保留</x:v>
      </x:c>
      <x:c r="L26" s="144" t="str">
        <x:v>Concentrate／Malaise</x:v>
      </x:c>
      <x:c r="M26" s="144" t="str">
        <x:v>A</x:v>
      </x:c>
      <x:c r="N26" s="144" t="str">
        <x:v>用户修订后保留；本轮未判定为重复。</x:v>
      </x:c>
      <x:c r="O26" s="144" t="str">
        <x:v>基础与升级审阅定稿</x:v>
      </x:c>
      <x:c r="P26" s="144" t="str">
        <x:v>2026-08-15水系升级同步。</x:v>
      </x:c>
      <x:c r="Q26" s="144" t="str">
        <x:v>1</x:v>
      </x:c>
      <x:c r="R26" s="144" t="str">
        <x:v>主动弃置任意张手牌。对目标施加X回合虚弱（X=主动弃置的牌数）。</x:v>
      </x:c>
    </x:row>
    <x:row r="27" ht="72" customHeight="1">
      <x:c r="A27" s="144" t="str">
        <x:v>SG034</x:v>
      </x:c>
      <x:c r="B27" s="144" t="str">
        <x:v>观潮葬</x:v>
      </x:c>
      <x:c r="C27" s="144" t="str">
        <x:v>暗·水</x:v>
      </x:c>
      <x:c r="D27" s="144" t="str">
        <x:v>自残／弃牌／墓场／虚无 ↔ 减费／X费／泡影／虚弱</x:v>
      </x:c>
      <x:c r="E27" s="144" t="str">
        <x:v>蓝</x:v>
      </x:c>
      <x:c r="F27" s="144" t="str">
        <x:v>1</x:v>
      </x:c>
      <x:c r="G27" s="144" t="str">
        <x:v>技能</x:v>
      </x:c>
      <x:c r="H27" s="144" t="str">
        <x:v>查看抽牌堆顶4张牌。选择其中2张置入弃牌堆，将另外2张加入手牌。</x:v>
      </x:c>
      <x:c r="I27" s="144" t="str">
        <x:v>水系牌序控制精准命中暗系遗言或污染牌。</x:v>
      </x:c>
      <x:c r="J27" s="144" t="str">
        <x:v>中</x:v>
      </x:c>
      <x:c r="K27" s="144" t="str">
        <x:v>前轮用户保留</x:v>
      </x:c>
      <x:c r="L27" s="144" t="str">
        <x:v>Cut Through Fate／Third Eye</x:v>
      </x:c>
      <x:c r="M27" s="144" t="str">
        <x:v>A</x:v>
      </x:c>
      <x:c r="N27" s="144" t="str">
        <x:v>用户修订后保留；本轮未判定为重复。</x:v>
      </x:c>
      <x:c r="O27" s="144" t="str">
        <x:v>基础与升级审阅定稿</x:v>
      </x:c>
      <x:c r="P27" s="144" t="str">
        <x:v>涉水复审：顶4牌，2张磨弃、2张入手。；2026-08-15水系升级同步。</x:v>
      </x:c>
      <x:c r="Q27" s="144" t="str">
        <x:v>1</x:v>
      </x:c>
      <x:c r="R27" s="144" t="str">
        <x:v>查看抽牌堆顶5张牌。选择其中2张置入弃牌堆，将另外3张加入手牌。</x:v>
      </x:c>
    </x:row>
    <x:row r="28" ht="72" customHeight="1">
      <x:c r="A28" s="144" t="str">
        <x:v>SG036</x:v>
      </x:c>
      <x:c r="B28" s="144" t="str">
        <x:v>回顶暗流</x:v>
      </x:c>
      <x:c r="C28" s="144" t="str">
        <x:v>暗·水</x:v>
      </x:c>
      <x:c r="D28" s="144" t="str">
        <x:v>自残／弃牌／墓场／虚无 ↔ 减费／X费／泡影／虚弱</x:v>
      </x:c>
      <x:c r="E28" s="144" t="str">
        <x:v>蓝</x:v>
      </x:c>
      <x:c r="F28" s="144" t="str">
        <x:v>1</x:v>
      </x:c>
      <x:c r="G28" s="144" t="str">
        <x:v>伤害</x:v>
      </x:c>
      <x:c r="H28" s="144" t="str">
        <x:v>造成9点伤害。从弃牌堆选择1张牌置于抽牌堆顶；其费用在下次打出前变为0。</x:v>
      </x:c>
      <x:c r="I28" s="144" t="str">
        <x:v>暗系墓场提供目标，水系预先完成减费。</x:v>
      </x:c>
      <x:c r="J28" s="144" t="str">
        <x:v>中</x:v>
      </x:c>
      <x:c r="K28" s="144" t="str">
        <x:v>前轮用户保留</x:v>
      </x:c>
      <x:c r="L28" s="144" t="str">
        <x:v>Headbutt／Setup</x:v>
      </x:c>
      <x:c r="M28" s="144" t="str">
        <x:v>A</x:v>
      </x:c>
      <x:c r="N28" s="144" t="str">
        <x:v>用户修订后保留；本轮未判定为重复。</x:v>
      </x:c>
      <x:c r="O28" s="144" t="str">
        <x:v>基础与升级审阅定稿</x:v>
      </x:c>
      <x:c r="P28" s="144" t="str">
        <x:v>涉水复审：伤害7→9。；2026-08-15水系升级同步。</x:v>
      </x:c>
      <x:c r="Q28" s="144" t="str">
        <x:v>1</x:v>
      </x:c>
      <x:c r="R28" s="144" t="str">
        <x:v>造成12点伤害。从弃牌堆选择1张牌置于抽牌堆顶；其费用在下次打出前变为0。</x:v>
      </x:c>
    </x:row>
    <x:row r="29" ht="72" customHeight="1">
      <x:c r="A29" s="144" t="str">
        <x:v>BX018</x:v>
      </x:c>
      <x:c r="B29" s="144" t="str">
        <x:v>晨露祷歌</x:v>
      </x:c>
      <x:c r="C29" s="144" t="str">
        <x:v>草·光</x:v>
      </x:c>
      <x:c r="D29" s="144" t="str">
        <x:v>再生 ↔ 神启</x:v>
      </x:c>
      <x:c r="E29" s="144" t="str">
        <x:v>金</x:v>
      </x:c>
      <x:c r="F29" s="144" t="str">
        <x:v>2</x:v>
      </x:c>
      <x:c r="G29" s="144" t="str">
        <x:v>能力</x:v>
      </x:c>
      <x:c r="H29" s="144" t="str">
        <x:v>获得3层再生。本场战斗中，每当再生使你回复生命时，获得1点祷念。消耗。</x:v>
      </x:c>
      <x:c r="I29" s="144" t="str">
        <x:v>草系慢回复成为光系跨回合进度来源；需要持续补再生，无法一次爆发完成神临。</x:v>
      </x:c>
      <x:c r="J29" s="144" t="str">
        <x:v>低</x:v>
      </x:c>
      <x:c r="K29" s="144" t="str">
        <x:v>V4执行池继承</x:v>
      </x:c>
      <x:c r="L29" s="144" t="str">
        <x:v>—</x:v>
      </x:c>
      <x:c r="M29" s="144" t="str">
        <x:v>已按评审修改</x:v>
      </x:c>
      <x:c r="N29" s="144" t="str">
        <x:v>现有V3保留。</x:v>
      </x:c>
      <x:c r="O29" s="144" t="str">
        <x:v>审阅保留</x:v>
      </x:c>
      <x:c r="P29" s="144"/>
      <x:c r="Q29" s="144"/>
      <x:c r="R29" s="144"/>
    </x:row>
    <x:row r="30" ht="72" customHeight="1">
      <x:c r="A30" s="144" t="str">
        <x:v>L022</x:v>
      </x:c>
      <x:c r="B30" s="144" t="str">
        <x:v>技法启示</x:v>
      </x:c>
      <x:c r="C30" s="144" t="str">
        <x:v>草·光</x:v>
      </x:c>
      <x:c r="D30" s="144" t="str">
        <x:v>技能牌池 ↔ 生成牌</x:v>
      </x:c>
      <x:c r="E30" s="144" t="str">
        <x:v>白</x:v>
      </x:c>
      <x:c r="F30" s="144" t="n">
        <x:v>0</x:v>
      </x:c>
      <x:c r="G30" s="144" t="str">
        <x:v>技能</x:v>
      </x:c>
      <x:c r="H30" s="144" t="str">
        <x:v>随机生成1张技能牌加入手牌。其费用在本回合-1（最低为0）。消耗。</x:v>
      </x:c>
      <x:c r="I30" s="144" t="str">
        <x:v>以草·光配对限定技能牌生成入口，降低单局生成牌同质化。</x:v>
      </x:c>
      <x:c r="J30" s="144" t="str">
        <x:v>低</x:v>
      </x:c>
      <x:c r="K30" s="144" t="str">
        <x:v>属性主池同步</x:v>
      </x:c>
      <x:c r="L30" s="144" t="str">
        <x:v>—</x:v>
      </x:c>
      <x:c r="M30" s="144" t="str">
        <x:v>光系主池审阅保留</x:v>
      </x:c>
      <x:c r="N30" s="144" t="str">
        <x:v>同编号同步，不建立复制卡。</x:v>
      </x:c>
      <x:c r="O30" s="144" t="str">
        <x:v>审阅保留</x:v>
      </x:c>
      <x:c r="P30" s="144" t="str">
        <x:v>保留在光系主池，同时进入胶水池。</x:v>
      </x:c>
      <x:c r="Q30" s="144"/>
      <x:c r="R30" s="144"/>
    </x:row>
    <x:row r="31" ht="72" customHeight="1">
      <x:c r="A31" s="144" t="str">
        <x:v>SG050</x:v>
      </x:c>
      <x:c r="B31" s="144" t="str">
        <x:v>圣棘</x:v>
      </x:c>
      <x:c r="C31" s="144" t="str">
        <x:v>草·光</x:v>
      </x:c>
      <x:c r="D31" s="144" t="str">
        <x:v>猎获／荆棘／中毒／再生 ↔ 强化／神启／生成牌</x:v>
      </x:c>
      <x:c r="E31" s="144" t="str">
        <x:v>金</x:v>
      </x:c>
      <x:c r="F31" s="144" t="str">
        <x:v>1</x:v>
      </x:c>
      <x:c r="G31" s="144" t="str">
        <x:v>能力</x:v>
      </x:c>
      <x:c r="H31" s="144" t="str">
        <x:v>获得1点荆棘。本场战斗中，每当荆棘造成伤害时，获得1点祷念。消耗。</x:v>
      </x:c>
      <x:c r="I31" s="144" t="str">
        <x:v>先提供荆棘入口，再把草系反击事件持续转化为光系神启。</x:v>
      </x:c>
      <x:c r="J31" s="144" t="str">
        <x:v>低</x:v>
      </x:c>
      <x:c r="K31" s="144" t="str">
        <x:v>前轮用户保留</x:v>
      </x:c>
      <x:c r="L31" s="144" t="str">
        <x:v>Sadistic Nature／Caltrops</x:v>
      </x:c>
      <x:c r="M31" s="144" t="str">
        <x:v>A</x:v>
      </x:c>
      <x:c r="N31" s="144" t="str">
        <x:v>用户修订后保留；本轮未判定为重复。</x:v>
      </x:c>
      <x:c r="O31" s="144" t="str">
        <x:v>审阅保留</x:v>
      </x:c>
      <x:c r="P31" s="144" t="str">
        <x:v>涉光复审：增加立即获得1点荆棘。</x:v>
      </x:c>
      <x:c r="Q31" s="144"/>
      <x:c r="R31" s="144"/>
    </x:row>
    <x:row r="32" ht="72" customHeight="1">
      <x:c r="A32" s="144" t="str">
        <x:v>SG053</x:v>
      </x:c>
      <x:c r="B32" s="144" t="str">
        <x:v>预言种子</x:v>
      </x:c>
      <x:c r="C32" s="144" t="str">
        <x:v>草·光</x:v>
      </x:c>
      <x:c r="D32" s="144" t="str">
        <x:v>猎获／荆棘／中毒／再生 ↔ 强化／神启／生成牌</x:v>
      </x:c>
      <x:c r="E32" s="144" t="str">
        <x:v>蓝</x:v>
      </x:c>
      <x:c r="F32" s="144" t="str">
        <x:v>1</x:v>
      </x:c>
      <x:c r="G32" s="144" t="str">
        <x:v>技能</x:v>
      </x:c>
      <x:c r="H32" s="144" t="str">
        <x:v>下回合开始时，获得4层树皮和2层再生。消耗。</x:v>
      </x:c>
      <x:c r="I32" s="144" t="str">
        <x:v>直接写明下回合的草系生存收益，不建立延迟结算关键词。</x:v>
      </x:c>
      <x:c r="J32" s="144" t="str">
        <x:v>低</x:v>
      </x:c>
      <x:c r="K32" s="144" t="str">
        <x:v>前轮用户保留</x:v>
      </x:c>
      <x:c r="L32" s="144" t="str">
        <x:v>The Bomb／Self Repair</x:v>
      </x:c>
      <x:c r="M32" s="144" t="str">
        <x:v>A</x:v>
      </x:c>
      <x:c r="N32" s="144" t="str">
        <x:v>用户修订后保留；本轮未判定为重复。</x:v>
      </x:c>
      <x:c r="O32" s="144" t="str">
        <x:v>审阅保留</x:v>
      </x:c>
      <x:c r="P32" s="144" t="str">
        <x:v>涉光复审：删除延迟结算关键词，改用自然语言。</x:v>
      </x:c>
      <x:c r="Q32" s="144"/>
      <x:c r="R32" s="144"/>
    </x:row>
    <x:row r="33" ht="72" customHeight="1">
      <x:c r="A33" s="144" t="str">
        <x:v>BX015</x:v>
      </x:c>
      <x:c r="B33" s="144" t="str">
        <x:v>春潮</x:v>
      </x:c>
      <x:c r="C33" s="144" t="str">
        <x:v>草·水</x:v>
      </x:c>
      <x:c r="D33" s="144" t="str">
        <x:v>X费 ↔ 生长多次打出</x:v>
      </x:c>
      <x:c r="E33" s="144" t="str">
        <x:v>金</x:v>
      </x:c>
      <x:c r="F33" s="144" t="str">
        <x:v>X</x:v>
      </x:c>
      <x:c r="G33" s="144" t="str">
        <x:v>技能</x:v>
      </x:c>
      <x:c r="H33" s="144" t="str">
        <x:v>消耗所有能量。选择1张手牌中的生长牌，将其免费打出X次（X=消耗的能量）。消耗。</x:v>
      </x:c>
      <x:c r="I33" s="144" t="str">
        <x:v>水系把整回合能量转为同一张草系核心牌的连续结算；每次打出都会完成效果并触发生长。</x:v>
      </x:c>
      <x:c r="J33" s="144" t="str">
        <x:v>中高</x:v>
      </x:c>
      <x:c r="K33" s="144" t="str">
        <x:v>V4执行池继承</x:v>
      </x:c>
      <x:c r="L33" s="144" t="str">
        <x:v>—</x:v>
      </x:c>
      <x:c r="M33" s="144" t="str">
        <x:v>已按评审修改</x:v>
      </x:c>
      <x:c r="N33" s="144" t="str">
        <x:v>现有V3保留。</x:v>
      </x:c>
      <x:c r="O33" s="144" t="str">
        <x:v>基础与升级审阅定稿</x:v>
      </x:c>
      <x:c r="P33" s="144" t="str">
        <x:v>2026-08-15水系升级同步。</x:v>
      </x:c>
      <x:c r="Q33" s="144" t="str">
        <x:v>X</x:v>
      </x:c>
      <x:c r="R33" s="144" t="str">
        <x:v>消耗所有能量。选择1张手牌中的生长牌，将其免费打出X+1次（X=消耗的能量）。消耗。</x:v>
      </x:c>
    </x:row>
    <x:row r="34" ht="72" customHeight="1">
      <x:c r="A34" s="144" t="str">
        <x:v>BX016</x:v>
      </x:c>
      <x:c r="B34" s="144" t="str">
        <x:v>润甲</x:v>
      </x:c>
      <x:c r="C34" s="144" t="str">
        <x:v>草·水</x:v>
      </x:c>
      <x:c r="D34" s="144" t="str">
        <x:v>树皮 ↔ 牌堆减费</x:v>
      </x:c>
      <x:c r="E34" s="144" t="str">
        <x:v>蓝</x:v>
      </x:c>
      <x:c r="F34" s="144" t="n">
        <x:v>1</x:v>
      </x:c>
      <x:c r="G34" s="144" t="str">
        <x:v>能力</x:v>
      </x:c>
      <x:c r="H34" s="144" t="str">
        <x:v>本场战斗中，每当树皮在回合结束时使你获得护盾，随机使抽牌堆中1张牌本场战斗中费用-1（最低为0）。消耗。</x:v>
      </x:c>
      <x:c r="I34" s="144" t="str">
        <x:v>草系树皮负责稳定触发，水系减费为下一轮提速；慢防御由此转化为后续节奏。</x:v>
      </x:c>
      <x:c r="J34" s="144" t="str">
        <x:v>低</x:v>
      </x:c>
      <x:c r="K34" s="144" t="str">
        <x:v>V4执行池继承</x:v>
      </x:c>
      <x:c r="L34" s="144" t="str">
        <x:v>—</x:v>
      </x:c>
      <x:c r="M34" s="144" t="str">
        <x:v>保留</x:v>
      </x:c>
      <x:c r="N34" s="144" t="str">
        <x:v>现有V3保留。</x:v>
      </x:c>
      <x:c r="O34" s="144" t="str">
        <x:v>基础与升级审阅定稿</x:v>
      </x:c>
      <x:c r="P34" s="144" t="str">
        <x:v>涉水复审：改为1费蓝卡，减费持续整场。；2026-08-15水系升级同步。</x:v>
      </x:c>
      <x:c r="Q34" s="144" t="n">
        <x:v>1</x:v>
      </x:c>
      <x:c r="R34" s="144" t="str">
        <x:v>本场战斗中，每当树皮在回合结束时使你获得护盾，随机使抽牌堆中2张牌本场战斗中费用-1（最低为0）。消耗。</x:v>
      </x:c>
    </x:row>
    <x:row r="35" ht="72" customHeight="1">
      <x:c r="A35" s="144" t="str">
        <x:v>BX024</x:v>
      </x:c>
      <x:c r="B35" s="144" t="str">
        <x:v>沉身</x:v>
      </x:c>
      <x:c r="C35" s="144" t="str">
        <x:v>草·水</x:v>
      </x:c>
      <x:c r="D35" s="144" t="str">
        <x:v>敏捷降低 ↔ 高额护盾／净化</x:v>
      </x:c>
      <x:c r="E35" s="144" t="str">
        <x:v>蓝</x:v>
      </x:c>
      <x:c r="F35" s="144" t="n">
        <x:v>1</x:v>
      </x:c>
      <x:c r="G35" s="144" t="str">
        <x:v>技能</x:v>
      </x:c>
      <x:c r="H35" s="144" t="str">
        <x:v>失去2点敏捷。获得20点护盾。消耗。</x:v>
      </x:c>
      <x:c r="I35" s="144" t="str">
        <x:v>草系敏捷成为水系可净化代价。</x:v>
      </x:c>
      <x:c r="J35" s="144" t="str">
        <x:v>低</x:v>
      </x:c>
      <x:c r="K35" s="144" t="str">
        <x:v>2026-08水系审阅</x:v>
      </x:c>
      <x:c r="L35" s="144" t="str">
        <x:v>—</x:v>
      </x:c>
      <x:c r="M35" s="144" t="str">
        <x:v>本轮新增</x:v>
      </x:c>
      <x:c r="N35" s="144" t="str">
        <x:v>同步所属属性主池</x:v>
      </x:c>
      <x:c r="O35" s="144" t="str">
        <x:v>基础与升级审阅定稿</x:v>
      </x:c>
      <x:c r="P35" s="144" t="str">
        <x:v>设计师逐批审阅通过。；2026-08-15水系升级同步。</x:v>
      </x:c>
      <x:c r="Q35" s="144" t="n">
        <x:v>1</x:v>
      </x:c>
      <x:c r="R35" s="144" t="str">
        <x:v>失去2点敏捷。获得26点护盾。消耗。</x:v>
      </x:c>
    </x:row>
    <x:row r="36" ht="72" customHeight="1">
      <x:c r="A36" s="144" t="str">
        <x:v>BX025</x:v>
      </x:c>
      <x:c r="B36" s="144" t="str">
        <x:v>破舵</x:v>
      </x:c>
      <x:c r="C36" s="144" t="str">
        <x:v>草·水</x:v>
      </x:c>
      <x:c r="D36" s="144" t="str">
        <x:v>敏捷降低 ↔ 泡影／净化</x:v>
      </x:c>
      <x:c r="E36" s="144" t="str">
        <x:v>金</x:v>
      </x:c>
      <x:c r="F36" s="144" t="n">
        <x:v>2</x:v>
      </x:c>
      <x:c r="G36" s="144" t="str">
        <x:v>技能</x:v>
      </x:c>
      <x:c r="H36" s="144" t="str">
        <x:v>失去3点敏捷。获得3层泡影。消耗。</x:v>
      </x:c>
      <x:c r="I36" s="144" t="str">
        <x:v>以敏捷换取泡影并留下净化出口。</x:v>
      </x:c>
      <x:c r="J36" s="144" t="str">
        <x:v>低</x:v>
      </x:c>
      <x:c r="K36" s="144" t="str">
        <x:v>2026-08水系审阅</x:v>
      </x:c>
      <x:c r="L36" s="144" t="str">
        <x:v>—</x:v>
      </x:c>
      <x:c r="M36" s="144" t="str">
        <x:v>本轮新增</x:v>
      </x:c>
      <x:c r="N36" s="144" t="str">
        <x:v>同步所属属性主池</x:v>
      </x:c>
      <x:c r="O36" s="144" t="str">
        <x:v>基础与升级审阅定稿</x:v>
      </x:c>
      <x:c r="P36" s="144" t="str">
        <x:v>设计师逐批审阅通过。；2026-08-15水系升级同步。</x:v>
      </x:c>
      <x:c r="Q36" s="144" t="n">
        <x:v>1</x:v>
      </x:c>
      <x:c r="R36" s="144" t="str">
        <x:v>失去3点敏捷。获得3层泡影。消耗。</x:v>
      </x:c>
    </x:row>
    <x:row r="37" ht="72" customHeight="1">
      <x:c r="A37" s="144" t="str">
        <x:v>G006</x:v>
      </x:c>
      <x:c r="B37" s="144" t="str">
        <x:v>致残毒云</x:v>
      </x:c>
      <x:c r="C37" s="144" t="str">
        <x:v>草·水</x:v>
      </x:c>
      <x:c r="D37" s="144" t="str">
        <x:v>中毒 ↔ 虚弱</x:v>
      </x:c>
      <x:c r="E37" s="144" t="str">
        <x:v>蓝</x:v>
      </x:c>
      <x:c r="F37" s="144" t="n">
        <x:v>2</x:v>
      </x:c>
      <x:c r="G37" s="144" t="str">
        <x:v>技能</x:v>
      </x:c>
      <x:c r="H37" s="144" t="str">
        <x:v>对敌方全体施加4层中毒、2回合虚弱。消耗。</x:v>
      </x:c>
      <x:c r="I37" s="144" t="str">
        <x:v>草系群体中毒与水系群体虚弱在一张牌上并行铺设。</x:v>
      </x:c>
      <x:c r="J37" s="144" t="str">
        <x:v>低</x:v>
      </x:c>
      <x:c r="K37" s="144" t="str">
        <x:v>属性主池同步</x:v>
      </x:c>
      <x:c r="L37" s="144" t="str">
        <x:v>Crippling Cloud</x:v>
      </x:c>
      <x:c r="M37" s="144" t="str">
        <x:v>草系主池既有双系牌</x:v>
      </x:c>
      <x:c r="N37" s="144" t="str">
        <x:v>同编号同步，不建立复制卡。</x:v>
      </x:c>
      <x:c r="O37" s="144" t="str">
        <x:v>基础与升级审阅定稿</x:v>
      </x:c>
      <x:c r="P37" s="144" t="str">
        <x:v>补齐早期双系牌同步。；2026-08-15水系升级同步。</x:v>
      </x:c>
      <x:c r="Q37" s="144" t="n">
        <x:v>2</x:v>
      </x:c>
      <x:c r="R37" s="144" t="str">
        <x:v>对敌方全体施加6层中毒、3回合虚弱。消耗。</x:v>
      </x:c>
    </x:row>
    <x:row r="38" ht="72" customHeight="1">
      <x:c r="A38" s="144" t="str">
        <x:v>G019</x:v>
      </x:c>
      <x:c r="B38" s="144" t="str">
        <x:v>迎刺</x:v>
      </x:c>
      <x:c r="C38" s="144" t="str">
        <x:v>草·水</x:v>
      </x:c>
      <x:c r="D38" s="144" t="str">
        <x:v>敌人意图 ↔ 荆棘</x:v>
      </x:c>
      <x:c r="E38" s="144" t="str">
        <x:v>蓝</x:v>
      </x:c>
      <x:c r="F38" s="144" t="n">
        <x:v>1</x:v>
      </x:c>
      <x:c r="G38" s="144" t="str">
        <x:v>技能</x:v>
      </x:c>
      <x:c r="H38" s="144" t="str">
        <x:v>获得5点护盾。若目标意图为攻击，获得1点荆棘。若该意图为多段攻击，改为获得3点荆棘。消耗。</x:v>
      </x:c>
      <x:c r="I38" s="144" t="str">
        <x:v>水系读取攻击意图，草系按攻击段数准备荆棘。</x:v>
      </x:c>
      <x:c r="J38" s="144" t="str">
        <x:v>低</x:v>
      </x:c>
      <x:c r="K38" s="144" t="str">
        <x:v>属性主池同步</x:v>
      </x:c>
      <x:c r="L38" s="144" t="str">
        <x:v>—</x:v>
      </x:c>
      <x:c r="M38" s="144" t="str">
        <x:v>草系主池既有双系牌</x:v>
      </x:c>
      <x:c r="N38" s="144" t="str">
        <x:v>同编号同步，不建立复制卡。</x:v>
      </x:c>
      <x:c r="O38" s="144" t="str">
        <x:v>基础与升级审阅定稿</x:v>
      </x:c>
      <x:c r="P38" s="144" t="str">
        <x:v>涉水复审：增加5点护盾。；2026-08-15水系升级同步。</x:v>
      </x:c>
      <x:c r="Q38" s="144" t="n">
        <x:v>1</x:v>
      </x:c>
      <x:c r="R38" s="144" t="str">
        <x:v>获得8点护盾。若目标意图为攻击，获得1点荆棘。若该意图为多段攻击，改为获得3点荆棘。消耗。</x:v>
      </x:c>
    </x:row>
    <x:row r="39" ht="72" customHeight="1">
      <x:c r="A39" s="144" t="str">
        <x:v>G043</x:v>
      </x:c>
      <x:c r="B39" s="144" t="str">
        <x:v>伏根袭</x:v>
      </x:c>
      <x:c r="C39" s="144" t="str">
        <x:v>草·水</x:v>
      </x:c>
      <x:c r="D39" s="144" t="str">
        <x:v>敌人意图 ↔ 树皮</x:v>
      </x:c>
      <x:c r="E39" s="144" t="str">
        <x:v>白</x:v>
      </x:c>
      <x:c r="F39" s="144" t="n">
        <x:v>1</x:v>
      </x:c>
      <x:c r="G39" s="144" t="str">
        <x:v>伤害</x:v>
      </x:c>
      <x:c r="H39" s="144" t="str">
        <x:v>造成7点伤害。若目标具有攻击意图，获得3层树皮。</x:v>
      </x:c>
      <x:c r="I39" s="144" t="str">
        <x:v>水系读取攻击意图，草系提前建立树皮防御。</x:v>
      </x:c>
      <x:c r="J39" s="144" t="str">
        <x:v>低</x:v>
      </x:c>
      <x:c r="K39" s="144" t="str">
        <x:v>属性主池同步</x:v>
      </x:c>
      <x:c r="L39" s="144" t="str">
        <x:v>—</x:v>
      </x:c>
      <x:c r="M39" s="144" t="str">
        <x:v>草系主池既有双系牌</x:v>
      </x:c>
      <x:c r="N39" s="144" t="str">
        <x:v>同编号同步，不建立复制卡。</x:v>
      </x:c>
      <x:c r="O39" s="144" t="str">
        <x:v>基础与升级审阅定稿</x:v>
      </x:c>
      <x:c r="P39" s="144" t="str">
        <x:v>补齐早期双系牌同步。；2026-08-15水系升级同步。</x:v>
      </x:c>
      <x:c r="Q39" s="144" t="n">
        <x:v>1</x:v>
      </x:c>
      <x:c r="R39" s="144" t="str">
        <x:v>造成10点伤害。若目标具有攻击意图，获得5层树皮。</x:v>
      </x:c>
    </x:row>
    <x:row r="40" ht="72" customHeight="1">
      <x:c r="A40" s="144" t="str">
        <x:v>SG043</x:v>
      </x:c>
      <x:c r="B40" s="144" t="str">
        <x:v>缠枝掌</x:v>
      </x:c>
      <x:c r="C40" s="144" t="str">
        <x:v>草·水</x:v>
      </x:c>
      <x:c r="D40" s="144" t="str">
        <x:v>树皮／荆棘／生长／再生 ↔ 多段／保留／冲刷／泡影／X费</x:v>
      </x:c>
      <x:c r="E40" s="144" t="str">
        <x:v>金</x:v>
      </x:c>
      <x:c r="F40" s="144" t="str">
        <x:v>1</x:v>
      </x:c>
      <x:c r="G40" s="144" t="str">
        <x:v>伤害</x:v>
      </x:c>
      <x:c r="H40" s="144" t="str">
        <x:v>造成5点伤害。本场战斗中，每当该目标受到伤害牌的一次命中时，获得1层树皮。消耗。</x:v>
      </x:c>
      <x:c r="I40" s="144" t="str">
        <x:v>水系多段攻击把草系标记转成持续防御。</x:v>
      </x:c>
      <x:c r="J40" s="144" t="str">
        <x:v>中</x:v>
      </x:c>
      <x:c r="K40" s="144" t="str">
        <x:v>前轮用户保留</x:v>
      </x:c>
      <x:c r="L40" s="144" t="str">
        <x:v>Talk to the Hand</x:v>
      </x:c>
      <x:c r="M40" s="144" t="str">
        <x:v>A</x:v>
      </x:c>
      <x:c r="N40" s="144" t="str">
        <x:v>用户修订后保留；本轮未判定为重复。</x:v>
      </x:c>
      <x:c r="O40" s="144" t="str">
        <x:v>基础与升级审阅定稿</x:v>
      </x:c>
      <x:c r="P40" s="144" t="str">
        <x:v>2026-08-15水系升级同步。</x:v>
      </x:c>
      <x:c r="Q40" s="144" t="str">
        <x:v>1</x:v>
      </x:c>
      <x:c r="R40" s="144" t="str">
        <x:v>造成8点伤害。本场战斗中，每当该目标受到伤害牌的一次命中时，获得1层树皮。消耗。</x:v>
      </x:c>
    </x:row>
    <x:row r="41" ht="72" customHeight="1">
      <x:c r="A41" s="144" t="str">
        <x:v>SG044</x:v>
      </x:c>
      <x:c r="B41" s="144" t="str">
        <x:v>风蚀树皮</x:v>
      </x:c>
      <x:c r="C41" s="144" t="str">
        <x:v>草·水</x:v>
      </x:c>
      <x:c r="D41" s="144" t="str">
        <x:v>树皮／荆棘／生长／再生 ↔ 多段／保留／冲刷／泡影／X费</x:v>
      </x:c>
      <x:c r="E41" s="144" t="str">
        <x:v>金</x:v>
      </x:c>
      <x:c r="F41" s="144" t="str">
        <x:v>1</x:v>
      </x:c>
      <x:c r="G41" s="144" t="str">
        <x:v>能力</x:v>
      </x:c>
      <x:c r="H41" s="144" t="str">
        <x:v>本场战斗中，每当树皮在回合结束时使你获得护盾，对敌方全体施加1回合虚弱。消耗。</x:v>
      </x:c>
      <x:c r="I41" s="144" t="str">
        <x:v>草系慢防御稳定触发水系群体虚弱。</x:v>
      </x:c>
      <x:c r="J41" s="144" t="str">
        <x:v>低</x:v>
      </x:c>
      <x:c r="K41" s="144" t="str">
        <x:v>前轮用户保留</x:v>
      </x:c>
      <x:c r="L41" s="144" t="str">
        <x:v>Wave of the Hand</x:v>
      </x:c>
      <x:c r="M41" s="144" t="str">
        <x:v>A</x:v>
      </x:c>
      <x:c r="N41" s="144" t="str">
        <x:v>用户修订后保留；本轮未判定为重复。</x:v>
      </x:c>
      <x:c r="O41" s="144" t="str">
        <x:v>基础与升级审阅定稿</x:v>
      </x:c>
      <x:c r="P41" s="144" t="str">
        <x:v>2026-08-15水系升级同步。</x:v>
      </x:c>
      <x:c r="Q41" s="144" t="n">
        <x:v>0</x:v>
      </x:c>
      <x:c r="R41" s="144" t="str">
        <x:v>本场战斗中，每当树皮在回合结束时使你获得护盾，对敌方全体施加1回合虚弱。消耗。</x:v>
      </x:c>
    </x:row>
    <x:row r="42" ht="72" customHeight="1">
      <x:c r="A42" s="144" t="str">
        <x:v>SG046</x:v>
      </x:c>
      <x:c r="B42" s="144" t="str">
        <x:v>蓄芽</x:v>
      </x:c>
      <x:c r="C42" s="144" t="str">
        <x:v>草·水</x:v>
      </x:c>
      <x:c r="D42" s="144" t="str">
        <x:v>树皮／荆棘／生长／再生 ↔ 多段／保留／冲刷／泡影／X费</x:v>
      </x:c>
      <x:c r="E42" s="144" t="str">
        <x:v>蓝</x:v>
      </x:c>
      <x:c r="F42" s="144" t="str">
        <x:v>1</x:v>
      </x:c>
      <x:c r="G42" s="144" t="str">
        <x:v>伤害</x:v>
      </x:c>
      <x:c r="H42" s="144" t="str">
        <x:v>保留。造成13点伤害。每当这张牌因保留留在手牌中，其伤害+4。</x:v>
      </x:c>
      <x:c r="I42" s="144" t="str">
        <x:v>水系保留时间直接培养草系成长型实体牌。</x:v>
      </x:c>
      <x:c r="J42" s="144" t="str">
        <x:v>低</x:v>
      </x:c>
      <x:c r="K42" s="144" t="str">
        <x:v>前轮用户保留</x:v>
      </x:c>
      <x:c r="L42" s="144" t="str">
        <x:v>Perseverance／Windmill Strike</x:v>
      </x:c>
      <x:c r="M42" s="144" t="str">
        <x:v>A</x:v>
      </x:c>
      <x:c r="N42" s="144" t="str">
        <x:v>用户修订后保留；本轮未判定为重复。</x:v>
      </x:c>
      <x:c r="O42" s="144" t="str">
        <x:v>基础与升级审阅定稿</x:v>
      </x:c>
      <x:c r="P42" s="144" t="str">
        <x:v>涉水复审：基础伤害8→13。；2026-08-15水系升级同步。</x:v>
      </x:c>
      <x:c r="Q42" s="144" t="str">
        <x:v>1</x:v>
      </x:c>
      <x:c r="R42" s="144" t="str">
        <x:v>保留。造成13点伤害。每当这张牌因保留留在手牌中，其伤害+6。</x:v>
      </x:c>
    </x:row>
    <x:row r="43" ht="72" customHeight="1">
      <x:c r="A43" s="144" t="str">
        <x:v>SG047</x:v>
      </x:c>
      <x:c r="B43" s="144" t="str">
        <x:v>洪根</x:v>
      </x:c>
      <x:c r="C43" s="144" t="str">
        <x:v>草·水</x:v>
      </x:c>
      <x:c r="D43" s="144" t="str">
        <x:v>树皮／荆棘／生长／再生 ↔ 多段／保留／冲刷／泡影／X费</x:v>
      </x:c>
      <x:c r="E43" s="144" t="str">
        <x:v>蓝</x:v>
      </x:c>
      <x:c r="F43" s="144" t="str">
        <x:v>X</x:v>
      </x:c>
      <x:c r="G43" s="144" t="str">
        <x:v>技能</x:v>
      </x:c>
      <x:c r="H43" s="144" t="str">
        <x:v>消耗所有能量。每消耗1点能量，获得2层树皮。</x:v>
      </x:c>
      <x:c r="I43" s="144" t="str">
        <x:v>水系把整回合能量转为草系跨回合防御。</x:v>
      </x:c>
      <x:c r="J43" s="144" t="str">
        <x:v>低</x:v>
      </x:c>
      <x:c r="K43" s="144" t="str">
        <x:v>前轮用户保留</x:v>
      </x:c>
      <x:c r="L43" s="144" t="str">
        <x:v>Reinforced Body</x:v>
      </x:c>
      <x:c r="M43" s="144" t="str">
        <x:v>A</x:v>
      </x:c>
      <x:c r="N43" s="144" t="str">
        <x:v>用户修订后保留；本轮未判定为重复。</x:v>
      </x:c>
      <x:c r="O43" s="144" t="str">
        <x:v>基础与升级审阅定稿</x:v>
      </x:c>
      <x:c r="P43" s="144" t="str">
        <x:v>2026-08-15水系升级同步。</x:v>
      </x:c>
      <x:c r="Q43" s="144" t="str">
        <x:v>X</x:v>
      </x:c>
      <x:c r="R43" s="144" t="str">
        <x:v>消耗所有能量。每消耗1点能量，获得3层树皮。</x:v>
      </x:c>
    </x:row>
    <x:row r="44" ht="72" customHeight="1">
      <x:c r="A44" s="144" t="str">
        <x:v>SG048</x:v>
      </x:c>
      <x:c r="B44" s="144" t="str">
        <x:v>洗露</x:v>
      </x:c>
      <x:c r="C44" s="144" t="str">
        <x:v>草·水</x:v>
      </x:c>
      <x:c r="D44" s="144" t="str">
        <x:v>树皮／荆棘／生长／再生 ↔ 多段／保留／冲刷／泡影／X费</x:v>
      </x:c>
      <x:c r="E44" s="144" t="str">
        <x:v>蓝</x:v>
      </x:c>
      <x:c r="F44" s="144" t="str">
        <x:v>1</x:v>
      </x:c>
      <x:c r="G44" s="144" t="str">
        <x:v>技能</x:v>
      </x:c>
      <x:c r="H44" s="144" t="str">
        <x:v>移除自身1个可移除的负面状态。获得2层再生。</x:v>
      </x:c>
      <x:c r="I44" s="144" t="str">
        <x:v>水系冲刷成功后，草系提供延续恢复。</x:v>
      </x:c>
      <x:c r="J44" s="144" t="str">
        <x:v>低</x:v>
      </x:c>
      <x:c r="K44" s="144" t="str">
        <x:v>前轮用户保留</x:v>
      </x:c>
      <x:c r="L44" s="144" t="str">
        <x:v>Panacea／Core Surge</x:v>
      </x:c>
      <x:c r="M44" s="144" t="str">
        <x:v>A</x:v>
      </x:c>
      <x:c r="N44" s="144" t="str">
        <x:v>用户修订后保留；本轮未判定为重复。</x:v>
      </x:c>
      <x:c r="O44" s="144" t="str">
        <x:v>基础与升级审阅定稿</x:v>
      </x:c>
      <x:c r="P44" s="144" t="str">
        <x:v>2026-08-15水系升级同步。</x:v>
      </x:c>
      <x:c r="Q44" s="144" t="str">
        <x:v>1</x:v>
      </x:c>
      <x:c r="R44" s="144" t="str">
        <x:v>移除自身1个可移除的负面状态。获得4层再生。</x:v>
      </x:c>
    </x:row>
    <x:row r="45" ht="72" customHeight="1">
      <x:c r="A45" s="144" t="str">
        <x:v>BX001</x:v>
      </x:c>
      <x:c r="B45" s="144" t="str">
        <x:v>烬葬</x:v>
      </x:c>
      <x:c r="C45" s="144" t="str">
        <x:v>火·暗</x:v>
      </x:c>
      <x:c r="D45" s="144" t="str">
        <x:v>墓场／遗言 ↔ 消耗／燃料</x:v>
      </x:c>
      <x:c r="E45" s="144" t="str">
        <x:v>蓝</x:v>
      </x:c>
      <x:c r="F45" s="144" t="str">
        <x:v>1</x:v>
      </x:c>
      <x:c r="G45" s="144" t="str">
        <x:v>技能</x:v>
      </x:c>
      <x:c r="H45" s="144" t="str">
        <x:v>从弃牌堆选择1张牌。若该牌具有遗言，将其置于抽牌堆顶，再将抽牌堆顶1张牌置入弃牌堆；否则将其消耗。获得4点护盾。</x:v>
      </x:c>
      <x:c r="I45" s="144" t="str">
        <x:v>暗系先把牌送入墓场；遗言牌通过置顶再磨弃免费打出，其他牌则转入消耗堆并触发火系燃料。无论分支都获得基础防御。</x:v>
      </x:c>
      <x:c r="J45" s="144" t="str">
        <x:v>中</x:v>
      </x:c>
      <x:c r="K45" s="144" t="str">
        <x:v>V4执行池继承</x:v>
      </x:c>
      <x:c r="L45" s="144" t="str">
        <x:v>—</x:v>
      </x:c>
      <x:c r="M45" s="144" t="str">
        <x:v>V3遗言适配</x:v>
      </x:c>
      <x:c r="N45" s="144" t="str">
        <x:v>现有V3保留。</x:v>
      </x:c>
      <x:c r="O45" s="144" t="str">
        <x:v>审阅保留</x:v>
      </x:c>
      <x:c r="P45" s="144"/>
      <x:c r="Q45" s="144"/>
      <x:c r="R45" s="144"/>
    </x:row>
    <x:row r="46" ht="72" customHeight="1">
      <x:c r="A46" s="144" t="str">
        <x:v>BX002</x:v>
      </x:c>
      <x:c r="B46" s="144" t="str">
        <x:v>血燃</x:v>
      </x:c>
      <x:c r="C46" s="144" t="str">
        <x:v>火·暗</x:v>
      </x:c>
      <x:c r="D46" s="144" t="str">
        <x:v>自残 ↔ 焚毁／燃料</x:v>
      </x:c>
      <x:c r="E46" s="144" t="str">
        <x:v>金</x:v>
      </x:c>
      <x:c r="F46" s="144" t="str">
        <x:v>1</x:v>
      </x:c>
      <x:c r="G46" s="144" t="str">
        <x:v>能力</x:v>
      </x:c>
      <x:c r="H46" s="144" t="str">
        <x:v>本场战斗中，每回合第一次因卡牌效果对自己造成伤害时，焚毁抽牌堆顶1张牌。消耗。</x:v>
      </x:c>
      <x:c r="I46" s="144" t="str">
        <x:v>暗系自残成为火系压缩牌组与点燃燃料的入口；每回合限1次，不制造无限事件链。</x:v>
      </x:c>
      <x:c r="J46" s="144" t="str">
        <x:v>低</x:v>
      </x:c>
      <x:c r="K46" s="144" t="str">
        <x:v>V4执行池继承</x:v>
      </x:c>
      <x:c r="L46" s="144" t="str">
        <x:v>—</x:v>
      </x:c>
      <x:c r="M46" s="144" t="str">
        <x:v>保留</x:v>
      </x:c>
      <x:c r="N46" s="144" t="str">
        <x:v>现有V3保留。</x:v>
      </x:c>
      <x:c r="O46" s="144" t="str">
        <x:v>审阅保留</x:v>
      </x:c>
      <x:c r="P46" s="144"/>
      <x:c r="Q46" s="144"/>
      <x:c r="R46" s="144"/>
    </x:row>
    <x:row r="47" ht="72" customHeight="1">
      <x:c r="A47" s="144" t="str">
        <x:v>F028</x:v>
      </x:c>
      <x:c r="B47" s="144" t="str">
        <x:v>灼魂</x:v>
      </x:c>
      <x:c r="C47" s="144" t="str">
        <x:v>火·暗</x:v>
      </x:c>
      <x:c r="D47" s="144" t="str">
        <x:v>灼伤 ↔ 自残</x:v>
      </x:c>
      <x:c r="E47" s="144" t="str">
        <x:v>蓝</x:v>
      </x:c>
      <x:c r="F47" s="144" t="n">
        <x:v>1</x:v>
      </x:c>
      <x:c r="G47" s="144" t="str">
        <x:v>状态</x:v>
      </x:c>
      <x:c r="H47" s="144" t="str">
        <x:v>施加3层灼伤。灼伤等级+I。对自己造成2点伤害。</x:v>
      </x:c>
      <x:c r="I47" s="144" t="str">
        <x:v>火系铺设高质量灼伤，以暗系自残作为代价。</x:v>
      </x:c>
      <x:c r="J47" s="144" t="str">
        <x:v>低</x:v>
      </x:c>
      <x:c r="K47" s="144" t="str">
        <x:v>属性主池同步</x:v>
      </x:c>
      <x:c r="L47" s="144" t="str">
        <x:v>—</x:v>
      </x:c>
      <x:c r="M47" s="144" t="str">
        <x:v>火系主池既有双系牌</x:v>
      </x:c>
      <x:c r="N47" s="144" t="str">
        <x:v>同编号同步，不建立复制卡。</x:v>
      </x:c>
      <x:c r="O47" s="144" t="str">
        <x:v>审阅保留</x:v>
      </x:c>
      <x:c r="P47" s="144" t="str">
        <x:v>补齐早期双系牌同步。</x:v>
      </x:c>
      <x:c r="Q47" s="144"/>
      <x:c r="R47" s="144"/>
    </x:row>
    <x:row r="48" ht="72" customHeight="1">
      <x:c r="A48" s="144" t="str">
        <x:v>F044</x:v>
      </x:c>
      <x:c r="B48" s="144" t="str">
        <x:v>血战</x:v>
      </x:c>
      <x:c r="C48" s="144" t="str">
        <x:v>火·暗</x:v>
      </x:c>
      <x:c r="D48" s="144" t="str">
        <x:v>力量／余烬 ↔ 自残</x:v>
      </x:c>
      <x:c r="E48" s="144" t="str">
        <x:v>蓝</x:v>
      </x:c>
      <x:c r="F48" s="144" t="n">
        <x:v>1</x:v>
      </x:c>
      <x:c r="G48" s="144" t="str">
        <x:v>能力</x:v>
      </x:c>
      <x:c r="H48" s="144" t="str">
        <x:v>对自己造成4点伤害。获得4点力量。余烬1。消耗。</x:v>
      </x:c>
      <x:c r="I48" s="144" t="str">
        <x:v>暗系支付生命，换取火系力量爆发并承担余烬代价。</x:v>
      </x:c>
      <x:c r="J48" s="144" t="str">
        <x:v>低</x:v>
      </x:c>
      <x:c r="K48" s="144" t="str">
        <x:v>属性主池同步</x:v>
      </x:c>
      <x:c r="L48" s="144" t="str">
        <x:v>—</x:v>
      </x:c>
      <x:c r="M48" s="144" t="str">
        <x:v>火系主池既有双系牌</x:v>
      </x:c>
      <x:c r="N48" s="144" t="str">
        <x:v>同编号同步，不建立复制卡。</x:v>
      </x:c>
      <x:c r="O48" s="144" t="str">
        <x:v>审阅保留</x:v>
      </x:c>
      <x:c r="P48" s="144" t="str">
        <x:v>补齐早期双系牌同步。</x:v>
      </x:c>
      <x:c r="Q48" s="144"/>
      <x:c r="R48" s="144"/>
    </x:row>
    <x:row r="49" ht="72" customHeight="1">
      <x:c r="A49" s="144" t="str">
        <x:v>F050</x:v>
      </x:c>
      <x:c r="B49" s="144" t="str">
        <x:v>背水狂刃</x:v>
      </x:c>
      <x:c r="C49" s="144" t="str">
        <x:v>火·暗</x:v>
      </x:c>
      <x:c r="D49" s="144" t="str">
        <x:v>力量引擎 ↔ 自残</x:v>
      </x:c>
      <x:c r="E49" s="144" t="str">
        <x:v>金</x:v>
      </x:c>
      <x:c r="F49" s="144" t="n">
        <x:v>1</x:v>
      </x:c>
      <x:c r="G49" s="144" t="str">
        <x:v>伤害</x:v>
      </x:c>
      <x:c r="H49" s="144" t="str">
        <x:v>本场战斗中，每当自己失去生命时，获得1点力量。对自己造成3点伤害。消耗。</x:v>
      </x:c>
      <x:c r="I49" s="144" t="str">
        <x:v>暗系持续失去生命，转化为火系力量成长。</x:v>
      </x:c>
      <x:c r="J49" s="144" t="str">
        <x:v>低</x:v>
      </x:c>
      <x:c r="K49" s="144" t="str">
        <x:v>属性主池同步</x:v>
      </x:c>
      <x:c r="L49" s="144" t="str">
        <x:v>—</x:v>
      </x:c>
      <x:c r="M49" s="144" t="str">
        <x:v>火系主池既有双系牌</x:v>
      </x:c>
      <x:c r="N49" s="144" t="str">
        <x:v>同编号同步，不建立复制卡。</x:v>
      </x:c>
      <x:c r="O49" s="144" t="str">
        <x:v>审阅保留</x:v>
      </x:c>
      <x:c r="P49" s="144" t="str">
        <x:v>补齐早期双系牌同步。</x:v>
      </x:c>
      <x:c r="Q49" s="144"/>
      <x:c r="R49" s="144"/>
    </x:row>
    <x:row r="50" ht="72" customHeight="1">
      <x:c r="A50" s="144" t="str">
        <x:v>F052</x:v>
      </x:c>
      <x:c r="B50" s="144" t="str">
        <x:v>一闪</x:v>
      </x:c>
      <x:c r="C50" s="144" t="str">
        <x:v>火·暗</x:v>
      </x:c>
      <x:c r="D50" s="144" t="str">
        <x:v>连击 ↔ 墓场回收</x:v>
      </x:c>
      <x:c r="E50" s="144" t="str">
        <x:v>金</x:v>
      </x:c>
      <x:c r="F50" s="144" t="n">
        <x:v>1</x:v>
      </x:c>
      <x:c r="G50" s="144" t="str">
        <x:v>伤害</x:v>
      </x:c>
      <x:c r="H50" s="144" t="str">
        <x:v>造成N×2点伤害（N=当前连击数）。从弃牌堆选1张牌加入手牌。本回合打出该牌时，额外重复本效果一次。</x:v>
      </x:c>
      <x:c r="I50" s="144" t="str">
        <x:v>火系连击提供伤害规模，暗系弃牌堆提供回收与再触发目标。</x:v>
      </x:c>
      <x:c r="J50" s="144" t="str">
        <x:v>中</x:v>
      </x:c>
      <x:c r="K50" s="144" t="str">
        <x:v>属性主池同步</x:v>
      </x:c>
      <x:c r="L50" s="144" t="str">
        <x:v>—</x:v>
      </x:c>
      <x:c r="M50" s="144" t="str">
        <x:v>火系主池既有双系牌</x:v>
      </x:c>
      <x:c r="N50" s="144" t="str">
        <x:v>同编号同步，不建立复制卡。</x:v>
      </x:c>
      <x:c r="O50" s="144" t="str">
        <x:v>审阅保留</x:v>
      </x:c>
      <x:c r="P50" s="144" t="str">
        <x:v>补齐早期双系牌同步。</x:v>
      </x:c>
      <x:c r="Q50" s="144"/>
      <x:c r="R50" s="144"/>
    </x:row>
    <x:row r="51" ht="72" customHeight="1">
      <x:c r="A51" s="144" t="str">
        <x:v>F060</x:v>
      </x:c>
      <x:c r="B51" s="144" t="str">
        <x:v>烈火献祭</x:v>
      </x:c>
      <x:c r="C51" s="144" t="str">
        <x:v>火·暗</x:v>
      </x:c>
      <x:c r="D51" s="144" t="str">
        <x:v>焚毁 ↔ 自残</x:v>
      </x:c>
      <x:c r="E51" s="144" t="str">
        <x:v>蓝</x:v>
      </x:c>
      <x:c r="F51" s="144" t="n">
        <x:v>2</x:v>
      </x:c>
      <x:c r="G51" s="144" t="str">
        <x:v>伤害</x:v>
      </x:c>
      <x:c r="H51" s="144" t="str">
        <x:v>造成32点伤害。对自己造成3点伤害。焚毁2。</x:v>
      </x:c>
      <x:c r="I51" s="144" t="str">
        <x:v>同时支付暗系生命与火系焚毁代价，换取高额伤害。</x:v>
      </x:c>
      <x:c r="J51" s="144" t="str">
        <x:v>低</x:v>
      </x:c>
      <x:c r="K51" s="144" t="str">
        <x:v>属性主池同步</x:v>
      </x:c>
      <x:c r="L51" s="144" t="str">
        <x:v>—</x:v>
      </x:c>
      <x:c r="M51" s="144" t="str">
        <x:v>火系主池既有双系牌</x:v>
      </x:c>
      <x:c r="N51" s="144" t="str">
        <x:v>同编号同步，不建立复制卡。</x:v>
      </x:c>
      <x:c r="O51" s="144" t="str">
        <x:v>审阅保留</x:v>
      </x:c>
      <x:c r="P51" s="144" t="str">
        <x:v>补齐早期双系牌同步。</x:v>
      </x:c>
      <x:c r="Q51" s="144"/>
      <x:c r="R51" s="144"/>
    </x:row>
    <x:row r="52" ht="72" customHeight="1">
      <x:c r="A52" s="144" t="str">
        <x:v>F086</x:v>
      </x:c>
      <x:c r="B52" s="144" t="str">
        <x:v>焚牌狂炎</x:v>
      </x:c>
      <x:c r="C52" s="144" t="str">
        <x:v>火·暗</x:v>
      </x:c>
      <x:c r="D52" s="144" t="str">
        <x:v>灼伤／力量／焚毁 ↔ 自残</x:v>
      </x:c>
      <x:c r="E52" s="144" t="str">
        <x:v>金</x:v>
      </x:c>
      <x:c r="F52" s="144" t="n">
        <x:v>2</x:v>
      </x:c>
      <x:c r="G52" s="144" t="str">
        <x:v>伤害</x:v>
      </x:c>
      <x:c r="H52" s="144" t="str">
        <x:v>造成18点伤害。施加2层灼伤。灼伤等级+I。获得3点力量。对自己造成4点伤害。焚毁1。消耗。</x:v>
      </x:c>
      <x:c r="I52" s="144" t="str">
        <x:v>集中调用火系三条资源线，以暗系自残换取爆发。</x:v>
      </x:c>
      <x:c r="J52" s="144" t="str">
        <x:v>中</x:v>
      </x:c>
      <x:c r="K52" s="144" t="str">
        <x:v>属性主池同步</x:v>
      </x:c>
      <x:c r="L52" s="144" t="str">
        <x:v>—</x:v>
      </x:c>
      <x:c r="M52" s="144" t="str">
        <x:v>火系主池既有双系牌</x:v>
      </x:c>
      <x:c r="N52" s="144" t="str">
        <x:v>同编号同步，不建立复制卡。</x:v>
      </x:c>
      <x:c r="O52" s="144" t="str">
        <x:v>审阅保留</x:v>
      </x:c>
      <x:c r="P52" s="144" t="str">
        <x:v>补齐早期双系牌同步。</x:v>
      </x:c>
      <x:c r="Q52" s="144"/>
      <x:c r="R52" s="144"/>
    </x:row>
    <x:row r="53" ht="72" customHeight="1">
      <x:c r="A53" s="144" t="str">
        <x:v>F094</x:v>
      </x:c>
      <x:c r="B53" s="144" t="str">
        <x:v>背水狂炎</x:v>
      </x:c>
      <x:c r="C53" s="144" t="str">
        <x:v>火·暗</x:v>
      </x:c>
      <x:c r="D53" s="144" t="str">
        <x:v>力量爆发 ↔ 自残读取</x:v>
      </x:c>
      <x:c r="E53" s="144" t="str">
        <x:v>金</x:v>
      </x:c>
      <x:c r="F53" s="144" t="n">
        <x:v>1</x:v>
      </x:c>
      <x:c r="G53" s="144" t="str">
        <x:v>能力</x:v>
      </x:c>
      <x:c r="H53" s="144" t="str">
        <x:v>对自己造成当前生命25%的伤害。本回合伤害卡的伤害+N（N=本次失去的生命值÷4，向下取整）。消耗。</x:v>
      </x:c>
      <x:c r="I53" s="144" t="str">
        <x:v>暗系按当前生命支付代价，火系把失去生命转为当回合伤害强化。</x:v>
      </x:c>
      <x:c r="J53" s="144" t="str">
        <x:v>中</x:v>
      </x:c>
      <x:c r="K53" s="144" t="str">
        <x:v>属性主池同步</x:v>
      </x:c>
      <x:c r="L53" s="144" t="str">
        <x:v>—</x:v>
      </x:c>
      <x:c r="M53" s="144" t="str">
        <x:v>火系主池既有双系牌</x:v>
      </x:c>
      <x:c r="N53" s="144" t="str">
        <x:v>同编号同步，不建立复制卡。</x:v>
      </x:c>
      <x:c r="O53" s="144" t="str">
        <x:v>审阅保留</x:v>
      </x:c>
      <x:c r="P53" s="144" t="str">
        <x:v>补齐早期双系牌同步。</x:v>
      </x:c>
      <x:c r="Q53" s="144"/>
      <x:c r="R53" s="144"/>
    </x:row>
    <x:row r="54" ht="72" customHeight="1">
      <x:c r="A54" s="144" t="str">
        <x:v>SG001</x:v>
      </x:c>
      <x:c r="B54" s="144" t="str">
        <x:v>污焰呼吸</x:v>
      </x:c>
      <x:c r="C54" s="144" t="str">
        <x:v>火·暗</x:v>
      </x:c>
      <x:c r="D54" s="144" t="str">
        <x:v>灼伤／焚毁／燃料 ↔ 自残／遗言／污染牌</x:v>
      </x:c>
      <x:c r="E54" s="144" t="str">
        <x:v>蓝</x:v>
      </x:c>
      <x:c r="F54" s="144" t="str">
        <x:v>1</x:v>
      </x:c>
      <x:c r="G54" s="144" t="str">
        <x:v>能力</x:v>
      </x:c>
      <x:c r="H54" s="144" t="str">
        <x:v>本场战斗中，每当抽到状态牌或诅咒牌时，对敌方全体施加1层灼伤。消耗。</x:v>
      </x:c>
      <x:c r="I54" s="144" t="str">
        <x:v>暗系污染牌进入手牌，转化为火系群体铺灼伤。</x:v>
      </x:c>
      <x:c r="J54" s="144" t="str">
        <x:v>低</x:v>
      </x:c>
      <x:c r="K54" s="144" t="str">
        <x:v>前轮用户保留</x:v>
      </x:c>
      <x:c r="L54" s="144" t="str">
        <x:v>Fire Breathing</x:v>
      </x:c>
      <x:c r="M54" s="144" t="str">
        <x:v>A</x:v>
      </x:c>
      <x:c r="N54" s="144" t="str">
        <x:v>用户修订后保留；本轮未判定为重复。</x:v>
      </x:c>
      <x:c r="O54" s="144" t="str">
        <x:v>审阅保留</x:v>
      </x:c>
      <x:c r="P54" s="144"/>
      <x:c r="Q54" s="144"/>
      <x:c r="R54" s="144"/>
    </x:row>
    <x:row r="55" ht="72" customHeight="1">
      <x:c r="A55" s="144" t="str">
        <x:v>SG002</x:v>
      </x:c>
      <x:c r="B55" s="144" t="str">
        <x:v>灰骨屏障</x:v>
      </x:c>
      <x:c r="C55" s="144" t="str">
        <x:v>火·暗</x:v>
      </x:c>
      <x:c r="D55" s="144" t="str">
        <x:v>灼伤／焚毁／燃料 ↔ 自残／遗言／污染牌</x:v>
      </x:c>
      <x:c r="E55" s="144" t="str">
        <x:v>蓝</x:v>
      </x:c>
      <x:c r="F55" s="144" t="str">
        <x:v>1</x:v>
      </x:c>
      <x:c r="G55" s="144" t="str">
        <x:v>技能</x:v>
      </x:c>
      <x:c r="H55" s="144" t="str">
        <x:v>焚毁手牌中所有状态牌和诅咒牌。每焚毁1张，获得6点护盾。</x:v>
      </x:c>
      <x:c r="I55" s="144" t="str">
        <x:v>暗系污染牌成为火系焚毁目标，并直接解决当前回合防御。</x:v>
      </x:c>
      <x:c r="J55" s="144" t="str">
        <x:v>低</x:v>
      </x:c>
      <x:c r="K55" s="144" t="str">
        <x:v>前轮用户保留</x:v>
      </x:c>
      <x:c r="L55" s="144" t="str">
        <x:v>Second Wind</x:v>
      </x:c>
      <x:c r="M55" s="144" t="str">
        <x:v>A</x:v>
      </x:c>
      <x:c r="N55" s="144" t="str">
        <x:v>用户修订后保留；本轮未判定为重复。</x:v>
      </x:c>
      <x:c r="O55" s="144" t="str">
        <x:v>审阅保留</x:v>
      </x:c>
      <x:c r="P55" s="144"/>
      <x:c r="Q55" s="144"/>
      <x:c r="R55" s="144"/>
    </x:row>
    <x:row r="56" ht="72" customHeight="1">
      <x:c r="A56" s="144" t="str">
        <x:v>SG004</x:v>
      </x:c>
      <x:c r="B56" s="144" t="str">
        <x:v>血薪复燃</x:v>
      </x:c>
      <x:c r="C56" s="144" t="str">
        <x:v>火·暗</x:v>
      </x:c>
      <x:c r="D56" s="144" t="str">
        <x:v>灼伤／焚毁／燃料 ↔ 自残／遗言／污染牌</x:v>
      </x:c>
      <x:c r="E56" s="144" t="str">
        <x:v>金</x:v>
      </x:c>
      <x:c r="F56" s="144" t="str">
        <x:v>2</x:v>
      </x:c>
      <x:c r="G56" s="144" t="str">
        <x:v>能力</x:v>
      </x:c>
      <x:c r="H56" s="144" t="str">
        <x:v>本场战斗中，每回合因卡牌效果对自己造成伤害时，从弃牌堆随机将1张燃料牌加入手牌。消耗。</x:v>
      </x:c>
      <x:c r="I56" s="144" t="str">
        <x:v>自残补回燃料，燃料再供焚毁与资源循环。</x:v>
      </x:c>
      <x:c r="J56" s="144" t="str">
        <x:v>中</x:v>
      </x:c>
      <x:c r="K56" s="144" t="str">
        <x:v>前轮用户保留</x:v>
      </x:c>
      <x:c r="L56" s="144" t="str">
        <x:v>Rupture／Hologram</x:v>
      </x:c>
      <x:c r="M56" s="144" t="str">
        <x:v>B</x:v>
      </x:c>
      <x:c r="N56" s="144" t="str">
        <x:v>用户修订后保留；本轮未判定为重复。</x:v>
      </x:c>
      <x:c r="O56" s="144" t="str">
        <x:v>审阅保留</x:v>
      </x:c>
      <x:c r="P56" s="144"/>
      <x:c r="Q56" s="144"/>
      <x:c r="R56" s="144"/>
    </x:row>
    <x:row r="57" ht="72" customHeight="1">
      <x:c r="A57" s="144" t="str">
        <x:v>SG005</x:v>
      </x:c>
      <x:c r="B57" s="144" t="str">
        <x:v>炉膛债书</x:v>
      </x:c>
      <x:c r="C57" s="144" t="str">
        <x:v>火·暗</x:v>
      </x:c>
      <x:c r="D57" s="144" t="str">
        <x:v>灼伤／焚毁／燃料 ↔ 自残／遗言／污染牌</x:v>
      </x:c>
      <x:c r="E57" s="144" t="str">
        <x:v>蓝</x:v>
      </x:c>
      <x:c r="F57" s="144" t="str">
        <x:v>0</x:v>
      </x:c>
      <x:c r="G57" s="144" t="str">
        <x:v>技能</x:v>
      </x:c>
      <x:c r="H57" s="144" t="str">
        <x:v>获得2点能量。将1张【债书】置入弃牌堆。消耗。</x:v>
      </x:c>
      <x:c r="I57" s="144" t="str">
        <x:v>火系获得爆发能量，暗系负责处理之后进入牌组循环的债书。</x:v>
      </x:c>
      <x:c r="J57" s="144" t="str">
        <x:v>低</x:v>
      </x:c>
      <x:c r="K57" s="144" t="str">
        <x:v>前轮用户保留</x:v>
      </x:c>
      <x:c r="L57" s="144" t="str">
        <x:v>TURBO／Overclock</x:v>
      </x:c>
      <x:c r="M57" s="144" t="str">
        <x:v>A</x:v>
      </x:c>
      <x:c r="N57" s="144" t="str">
        <x:v>用户修订后保留；本轮未判定为重复。</x:v>
      </x:c>
      <x:c r="O57" s="144" t="str">
        <x:v>审阅保留</x:v>
      </x:c>
      <x:c r="P57" s="144"/>
      <x:c r="Q57" s="144"/>
      <x:c r="R57" s="144"/>
    </x:row>
    <x:row r="58" ht="72" customHeight="1">
      <x:c r="A58" s="144" t="str">
        <x:v>SG006</x:v>
      </x:c>
      <x:c r="B58" s="144" t="str">
        <x:v>藏火遗骨</x:v>
      </x:c>
      <x:c r="C58" s="144" t="str">
        <x:v>火·暗</x:v>
      </x:c>
      <x:c r="D58" s="144" t="str">
        <x:v>灼伤／焚毁／燃料 ↔ 自残／遗言／污染牌</x:v>
      </x:c>
      <x:c r="E58" s="144" t="str">
        <x:v>蓝</x:v>
      </x:c>
      <x:c r="F58" s="144" t="str">
        <x:v>2</x:v>
      </x:c>
      <x:c r="G58" s="144" t="str">
        <x:v>技能</x:v>
      </x:c>
      <x:c r="H58" s="144" t="str">
        <x:v>遗言。本回合下一张被消耗的燃料牌额外触发1次燃料效果。</x:v>
      </x:c>
      <x:c r="I58" s="144" t="str">
        <x:v>先用弃牌或磨弃免费启动，再安排燃料焚毁。</x:v>
      </x:c>
      <x:c r="J58" s="144" t="str">
        <x:v>低</x:v>
      </x:c>
      <x:c r="K58" s="144" t="str">
        <x:v>前轮用户保留</x:v>
      </x:c>
      <x:c r="L58" s="144" t="str">
        <x:v>Sentinel／Tactician</x:v>
      </x:c>
      <x:c r="M58" s="144" t="str">
        <x:v>A</x:v>
      </x:c>
      <x:c r="N58" s="144" t="str">
        <x:v>用户修订后保留；本轮未判定为重复。</x:v>
      </x:c>
      <x:c r="O58" s="144" t="str">
        <x:v>审阅保留</x:v>
      </x:c>
      <x:c r="P58" s="144"/>
      <x:c r="Q58" s="144"/>
      <x:c r="R58" s="144"/>
    </x:row>
    <x:row r="59" ht="72" customHeight="1">
      <x:c r="A59" s="144" t="str">
        <x:v>BX004</x:v>
      </x:c>
      <x:c r="B59" s="144" t="str">
        <x:v>炭化花粉</x:v>
      </x:c>
      <x:c r="C59" s="144" t="str">
        <x:v>火·草</x:v>
      </x:c>
      <x:c r="D59" s="144" t="str">
        <x:v>燃料 ↔ 中毒</x:v>
      </x:c>
      <x:c r="E59" s="144" t="str">
        <x:v>蓝</x:v>
      </x:c>
      <x:c r="F59" s="144" t="str">
        <x:v>1</x:v>
      </x:c>
      <x:c r="G59" s="144" t="str">
        <x:v>伤害</x:v>
      </x:c>
      <x:c r="H59" s="144" t="str">
        <x:v>造成5点伤害。施加2层中毒。燃料：被消耗时，对随机1个敌人施加3层中毒。</x:v>
      </x:c>
      <x:c r="I59" s="144" t="str">
        <x:v>在草系中是中毒小牌，在火系中是可焚毁的燃料；同一实体牌在两套牌序里承担不同角色。</x:v>
      </x:c>
      <x:c r="J59" s="144" t="str">
        <x:v>低</x:v>
      </x:c>
      <x:c r="K59" s="144" t="str">
        <x:v>V4执行池继承</x:v>
      </x:c>
      <x:c r="L59" s="144" t="str">
        <x:v>—</x:v>
      </x:c>
      <x:c r="M59" s="144" t="str">
        <x:v>保留</x:v>
      </x:c>
      <x:c r="N59" s="144" t="str">
        <x:v>去重保留：覆盖SG008；两者均为燃料被消耗后施加中毒，V3版本兼具直接中毒，更完整。</x:v>
      </x:c>
      <x:c r="O59" s="144" t="str">
        <x:v>审阅保留</x:v>
      </x:c>
      <x:c r="P59" s="144"/>
      <x:c r="Q59" s="144"/>
      <x:c r="R59" s="144"/>
    </x:row>
    <x:row r="60" ht="72" customHeight="1">
      <x:c r="A60" s="144" t="str">
        <x:v>SG007</x:v>
      </x:c>
      <x:c r="B60" s="144" t="str">
        <x:v>灰烬覆土</x:v>
      </x:c>
      <x:c r="C60" s="144" t="str">
        <x:v>火·草</x:v>
      </x:c>
      <x:c r="D60" s="144" t="str">
        <x:v>焚毁／灼伤 ↔ 树皮／荆棘／猎获／生长</x:v>
      </x:c>
      <x:c r="E60" s="144" t="str">
        <x:v>蓝</x:v>
      </x:c>
      <x:c r="F60" s="144" t="str">
        <x:v>1</x:v>
      </x:c>
      <x:c r="G60" s="144" t="str">
        <x:v>能力</x:v>
      </x:c>
      <x:c r="H60" s="144" t="str">
        <x:v>本场战斗中，每当有牌被消耗时，获得1层树皮。消耗。</x:v>
      </x:c>
      <x:c r="I60" s="144" t="str">
        <x:v>火系压缩牌组的每次消耗沉淀为草系持续防御。</x:v>
      </x:c>
      <x:c r="J60" s="144" t="str">
        <x:v>低</x:v>
      </x:c>
      <x:c r="K60" s="144" t="str">
        <x:v>前轮用户保留</x:v>
      </x:c>
      <x:c r="L60" s="144" t="str">
        <x:v>Feel No Pain</x:v>
      </x:c>
      <x:c r="M60" s="144" t="str">
        <x:v>A</x:v>
      </x:c>
      <x:c r="N60" s="144" t="str">
        <x:v>用户修订后保留；本轮未判定为重复。</x:v>
      </x:c>
      <x:c r="O60" s="144" t="str">
        <x:v>审阅保留</x:v>
      </x:c>
      <x:c r="P60" s="144"/>
      <x:c r="Q60" s="144"/>
      <x:c r="R60" s="144"/>
    </x:row>
    <x:row r="61" ht="72" customHeight="1">
      <x:c r="A61" s="144" t="str">
        <x:v>SG009</x:v>
      </x:c>
      <x:c r="B61" s="144" t="str">
        <x:v>荆火反噬</x:v>
      </x:c>
      <x:c r="C61" s="144" t="str">
        <x:v>火·草</x:v>
      </x:c>
      <x:c r="D61" s="144" t="str">
        <x:v>焚毁／灼伤 ↔ 树皮／荆棘／猎获／生长</x:v>
      </x:c>
      <x:c r="E61" s="144" t="str">
        <x:v>金</x:v>
      </x:c>
      <x:c r="F61" s="144" t="str">
        <x:v>2</x:v>
      </x:c>
      <x:c r="G61" s="144" t="str">
        <x:v>能力</x:v>
      </x:c>
      <x:c r="H61" s="144" t="str">
        <x:v>获得2点荆棘。本场战斗中，荆棘每回合造成伤害时，对攻击者施加2层灼伤。消耗。</x:v>
      </x:c>
      <x:c r="I61" s="144" t="str">
        <x:v>草系荆棘命中转为火系持续伤害，限制每回合一次。</x:v>
      </x:c>
      <x:c r="J61" s="144" t="str">
        <x:v>低</x:v>
      </x:c>
      <x:c r="K61" s="144" t="str">
        <x:v>前轮用户保留</x:v>
      </x:c>
      <x:c r="L61" s="144" t="str">
        <x:v>Flame Barrier</x:v>
      </x:c>
      <x:c r="M61" s="144" t="str">
        <x:v>A</x:v>
      </x:c>
      <x:c r="N61" s="144" t="str">
        <x:v>用户修订后保留；本轮未判定为重复。</x:v>
      </x:c>
      <x:c r="O61" s="144" t="str">
        <x:v>审阅保留</x:v>
      </x:c>
      <x:c r="P61" s="144"/>
      <x:c r="Q61" s="144"/>
      <x:c r="R61" s="144"/>
    </x:row>
    <x:row r="62" ht="72" customHeight="1">
      <x:c r="A62" s="144" t="str">
        <x:v>BX007</x:v>
      </x:c>
      <x:c r="B62" s="144" t="str">
        <x:v>献灯</x:v>
      </x:c>
      <x:c r="C62" s="144" t="str">
        <x:v>火·光</x:v>
      </x:c>
      <x:c r="D62" s="144" t="str">
        <x:v>焚毁／燃料 ↔ 神启</x:v>
      </x:c>
      <x:c r="E62" s="144" t="str">
        <x:v>蓝</x:v>
      </x:c>
      <x:c r="F62" s="144" t="str">
        <x:v>1</x:v>
      </x:c>
      <x:c r="G62" s="144" t="str">
        <x:v>技能</x:v>
      </x:c>
      <x:c r="H62" s="144" t="str">
        <x:v>焚毁1。获得3点祷念。若焚毁的牌具有燃料，额外获得2点祷念。</x:v>
      </x:c>
      <x:c r="I62" s="144" t="str">
        <x:v>燃料目标把普通神启收益进一步放大，保留火·光资源转换。</x:v>
      </x:c>
      <x:c r="J62" s="144" t="str">
        <x:v>低</x:v>
      </x:c>
      <x:c r="K62" s="144" t="str">
        <x:v>V4执行池继承</x:v>
      </x:c>
      <x:c r="L62" s="144" t="str">
        <x:v>—</x:v>
      </x:c>
      <x:c r="M62" s="144" t="str">
        <x:v>保留</x:v>
      </x:c>
      <x:c r="N62" s="144" t="str">
        <x:v>现有V3保留。</x:v>
      </x:c>
      <x:c r="O62" s="144" t="str">
        <x:v>审阅保留</x:v>
      </x:c>
      <x:c r="P62" s="144" t="str">
        <x:v>V5：已适配去第二费用裁定。</x:v>
      </x:c>
      <x:c r="Q62" s="144"/>
      <x:c r="R62" s="144"/>
    </x:row>
    <x:row r="63" ht="72" customHeight="1">
      <x:c r="A63" s="144" t="str">
        <x:v>BX014</x:v>
      </x:c>
      <x:c r="B63" s="144" t="str">
        <x:v>烬光摹本</x:v>
      </x:c>
      <x:c r="C63" s="144" t="str">
        <x:v>火·光</x:v>
      </x:c>
      <x:c r="D63" s="144" t="str">
        <x:v>消耗牌堆 ↔ 生成牌／强化</x:v>
      </x:c>
      <x:c r="E63" s="144" t="str">
        <x:v>金</x:v>
      </x:c>
      <x:c r="F63" s="144" t="str">
        <x:v>1</x:v>
      </x:c>
      <x:c r="G63" s="144" t="str">
        <x:v>技能</x:v>
      </x:c>
      <x:c r="H63" s="144" t="str">
        <x:v>从消耗牌堆中选择1张牌。生成1张该牌的复制品加入手牌，其费用变为0。消耗。</x:v>
      </x:c>
      <x:c r="I63" s="144" t="str">
        <x:v>火系消耗牌堆提供模板，光系把0费复制品接入生成牌与强化体系。</x:v>
      </x:c>
      <x:c r="J63" s="144" t="str">
        <x:v>中</x:v>
      </x:c>
      <x:c r="K63" s="144" t="str">
        <x:v>前轮用户保留</x:v>
      </x:c>
      <x:c r="L63" s="144" t="str">
        <x:v>—</x:v>
      </x:c>
      <x:c r="M63" s="144" t="str">
        <x:v>保留</x:v>
      </x:c>
      <x:c r="N63" s="144" t="str">
        <x:v>涉光复审后由暗·光改为火·光，并改读消耗牌堆。</x:v>
      </x:c>
      <x:c r="O63" s="144" t="str">
        <x:v>审阅保留</x:v>
      </x:c>
      <x:c r="P63" s="144" t="str">
        <x:v>涉光复审：改为火·光，从消耗牌堆获得0费复制品。</x:v>
      </x:c>
      <x:c r="Q63" s="144"/>
      <x:c r="R63" s="144"/>
    </x:row>
    <x:row r="64" ht="72" customHeight="1">
      <x:c r="A64" s="144" t="str">
        <x:v>L021</x:v>
      </x:c>
      <x:c r="B64" s="144" t="str">
        <x:v>火花启示</x:v>
      </x:c>
      <x:c r="C64" s="144" t="str">
        <x:v>火·光</x:v>
      </x:c>
      <x:c r="D64" s="144" t="str">
        <x:v>火系牌池 ↔ 生成牌</x:v>
      </x:c>
      <x:c r="E64" s="144" t="str">
        <x:v>白</x:v>
      </x:c>
      <x:c r="F64" s="144" t="n">
        <x:v>1</x:v>
      </x:c>
      <x:c r="G64" s="144" t="str">
        <x:v>技能</x:v>
      </x:c>
      <x:c r="H64" s="144" t="str">
        <x:v>从3张随机火系牌中选择1张加入手牌。其费用在本回合降为0。消耗。</x:v>
      </x:c>
      <x:c r="I64" s="144" t="str">
        <x:v>火系提供生成池，光系提供选择与当回合展开。</x:v>
      </x:c>
      <x:c r="J64" s="144" t="str">
        <x:v>低</x:v>
      </x:c>
      <x:c r="K64" s="144" t="str">
        <x:v>属性主池同步</x:v>
      </x:c>
      <x:c r="L64" s="144" t="str">
        <x:v>—</x:v>
      </x:c>
      <x:c r="M64" s="144" t="str">
        <x:v>光系主池审阅保留</x:v>
      </x:c>
      <x:c r="N64" s="144" t="str">
        <x:v>同编号同步，不建立复制卡。</x:v>
      </x:c>
      <x:c r="O64" s="144" t="str">
        <x:v>审阅保留</x:v>
      </x:c>
      <x:c r="P64" s="144" t="str">
        <x:v>保留在光系主池，同时进入胶水池。</x:v>
      </x:c>
      <x:c r="Q64" s="144"/>
      <x:c r="R64" s="144"/>
    </x:row>
    <x:row r="65" ht="72" customHeight="1">
      <x:c r="A65" s="144" t="str">
        <x:v>SG019</x:v>
      </x:c>
      <x:c r="B65" s="144" t="str">
        <x:v>燃尽启示</x:v>
      </x:c>
      <x:c r="C65" s="144" t="str">
        <x:v>火·光</x:v>
      </x:c>
      <x:c r="D65" s="144" t="str">
        <x:v>灼伤／燃料 ↔ 生成牌／强化／神启／神临</x:v>
      </x:c>
      <x:c r="E65" s="144" t="str">
        <x:v>金</x:v>
      </x:c>
      <x:c r="F65" s="144" t="n">
        <x:v>1</x:v>
      </x:c>
      <x:c r="G65" s="144" t="str">
        <x:v>能力</x:v>
      </x:c>
      <x:c r="H65" s="144" t="str">
        <x:v>本场战斗中，你生成的技能牌费用变为0；打出后将其消耗。消耗。</x:v>
      </x:c>
      <x:c r="I65" s="144" t="str">
        <x:v>光系大量生成技能牌，火系把临时爆发转为消耗与燃料触发。</x:v>
      </x:c>
      <x:c r="J65" s="144" t="str">
        <x:v>中</x:v>
      </x:c>
      <x:c r="K65" s="144" t="str">
        <x:v>前轮用户保留</x:v>
      </x:c>
      <x:c r="L65" s="144" t="str">
        <x:v>Corruption／Chrysalis</x:v>
      </x:c>
      <x:c r="M65" s="144" t="str">
        <x:v>A</x:v>
      </x:c>
      <x:c r="N65" s="144" t="str">
        <x:v>用户修订后保留；本轮未判定为重复。</x:v>
      </x:c>
      <x:c r="O65" s="144" t="str">
        <x:v>审阅保留</x:v>
      </x:c>
      <x:c r="P65" s="144" t="str">
        <x:v>涉光复审：费用改为1。</x:v>
      </x:c>
      <x:c r="Q65" s="144"/>
      <x:c r="R65" s="144"/>
    </x:row>
    <x:row r="66" ht="72" customHeight="1">
      <x:c r="A66" s="144" t="str">
        <x:v>SG020</x:v>
      </x:c>
      <x:c r="B66" s="144" t="str">
        <x:v>圣火刻印</x:v>
      </x:c>
      <x:c r="C66" s="144" t="str">
        <x:v>火·光</x:v>
      </x:c>
      <x:c r="D66" s="144" t="str">
        <x:v>灼伤／燃料 ↔ 生成牌／强化／神启／神临</x:v>
      </x:c>
      <x:c r="E66" s="144" t="str">
        <x:v>蓝</x:v>
      </x:c>
      <x:c r="F66" s="144" t="str">
        <x:v>1</x:v>
      </x:c>
      <x:c r="G66" s="144" t="str">
        <x:v>技能</x:v>
      </x:c>
      <x:c r="H66" s="144" t="str">
        <x:v>获得7点护盾。选择手牌中1张伤害牌。本场战斗中，每当该牌命中1个目标时，对该目标施加1层灼伤。</x:v>
      </x:c>
      <x:c r="I66" s="144" t="str">
        <x:v>光系强化一张实体伤害牌；火系把每次实际命中转为灼伤，多段牌可重复触发。</x:v>
      </x:c>
      <x:c r="J66" s="144" t="str">
        <x:v>中</x:v>
      </x:c>
      <x:c r="K66" s="144" t="str">
        <x:v>前轮用户保留</x:v>
      </x:c>
      <x:c r="L66" s="144" t="str">
        <x:v>Armaments／Envenom</x:v>
      </x:c>
      <x:c r="M66" s="144" t="str">
        <x:v>A</x:v>
      </x:c>
      <x:c r="N66" s="144" t="str">
        <x:v>用户修订后保留；本轮未判定为重复。</x:v>
      </x:c>
      <x:c r="O66" s="144" t="str">
        <x:v>审阅保留</x:v>
      </x:c>
      <x:c r="P66" s="144" t="str">
        <x:v>涉光复审：增加7点护盾；改为每次命中对应目标时施加灼伤。</x:v>
      </x:c>
      <x:c r="Q66" s="144"/>
      <x:c r="R66" s="144"/>
    </x:row>
    <x:row r="67" ht="72" customHeight="1">
      <x:c r="A67" s="144" t="str">
        <x:v>SG021</x:v>
      </x:c>
      <x:c r="B67" s="144" t="str">
        <x:v>祷火引线</x:v>
      </x:c>
      <x:c r="C67" s="144" t="str">
        <x:v>火·光</x:v>
      </x:c>
      <x:c r="D67" s="144" t="str">
        <x:v>灼伤／燃料 ↔ 生成牌／强化／神启／神临</x:v>
      </x:c>
      <x:c r="E67" s="144" t="str">
        <x:v>蓝</x:v>
      </x:c>
      <x:c r="F67" s="144" t="str">
        <x:v>1</x:v>
      </x:c>
      <x:c r="G67" s="144" t="str">
        <x:v>伤害</x:v>
      </x:c>
      <x:c r="H67" s="144" t="str">
        <x:v>造成8点伤害。燃料：被消耗时，获得3点祷念。</x:v>
      </x:c>
      <x:c r="I67" s="144" t="str">
        <x:v>燃料被焚毁时直接推进神启，形成火系消耗与光系神临的资源交换。</x:v>
      </x:c>
      <x:c r="J67" s="144" t="str">
        <x:v>低</x:v>
      </x:c>
      <x:c r="K67" s="144" t="str">
        <x:v>前轮用户保留</x:v>
      </x:c>
      <x:c r="L67" s="144" t="str">
        <x:v>Sentinel</x:v>
      </x:c>
      <x:c r="M67" s="144" t="str">
        <x:v>A</x:v>
      </x:c>
      <x:c r="N67" s="144" t="str">
        <x:v>用户修订后保留；本轮未判定为重复。</x:v>
      </x:c>
      <x:c r="O67" s="144" t="str">
        <x:v>审阅保留</x:v>
      </x:c>
      <x:c r="P67" s="144" t="str">
        <x:v>V5：已适配去第二费用裁定。</x:v>
      </x:c>
      <x:c r="Q67" s="144"/>
      <x:c r="R67" s="144"/>
    </x:row>
    <x:row r="68" ht="72" customHeight="1">
      <x:c r="A68" s="144" t="str">
        <x:v>SG024</x:v>
      </x:c>
      <x:c r="B68" s="144" t="str">
        <x:v>灰烬祷书</x:v>
      </x:c>
      <x:c r="C68" s="144" t="str">
        <x:v>火·光</x:v>
      </x:c>
      <x:c r="D68" s="144" t="str">
        <x:v>灼伤／燃料 ↔ 生成牌／强化／神启／神临</x:v>
      </x:c>
      <x:c r="E68" s="144" t="str">
        <x:v>金</x:v>
      </x:c>
      <x:c r="F68" s="144" t="str">
        <x:v>1</x:v>
      </x:c>
      <x:c r="G68" s="144" t="str">
        <x:v>能力</x:v>
      </x:c>
      <x:c r="H68" s="144" t="str">
        <x:v>本场战斗中，每当有牌被消耗时，获得1点祷念。消耗。</x:v>
      </x:c>
      <x:c r="I68" s="144" t="str">
        <x:v>火系消耗事件稳定推进神启，供给神临爆发窗口。</x:v>
      </x:c>
      <x:c r="J68" s="144" t="str">
        <x:v>低</x:v>
      </x:c>
      <x:c r="K68" s="144" t="str">
        <x:v>前轮用户保留</x:v>
      </x:c>
      <x:c r="L68" s="144" t="str">
        <x:v>Dark Embrace／Devotion</x:v>
      </x:c>
      <x:c r="M68" s="144" t="str">
        <x:v>A</x:v>
      </x:c>
      <x:c r="N68" s="144" t="str">
        <x:v>用户修订后保留；本轮未判定为重复。</x:v>
      </x:c>
      <x:c r="O68" s="144" t="str">
        <x:v>审阅保留</x:v>
      </x:c>
      <x:c r="P68" s="144" t="str">
        <x:v>涉光复审：稀有度改为金。</x:v>
      </x:c>
      <x:c r="Q68" s="144"/>
      <x:c r="R68" s="144"/>
    </x:row>
    <x:row r="69" ht="72" customHeight="1">
      <x:c r="A69" s="144" t="str">
        <x:v>BX005</x:v>
      </x:c>
      <x:c r="B69" s="144" t="str">
        <x:v>锅炉泄压</x:v>
      </x:c>
      <x:c r="C69" s="144" t="str">
        <x:v>火·水</x:v>
      </x:c>
      <x:c r="D69" s="144" t="str">
        <x:v>焚毁 ↔ X费</x:v>
      </x:c>
      <x:c r="E69" s="144" t="str">
        <x:v>金</x:v>
      </x:c>
      <x:c r="F69" s="144" t="str">
        <x:v>0</x:v>
      </x:c>
      <x:c r="G69" s="144" t="str">
        <x:v>技能</x:v>
      </x:c>
      <x:c r="H69" s="144" t="str">
        <x:v>焚毁任意张手牌。本回合打出的下一张X费牌结算时，X增加N（N=本次焚毁的牌数）。消耗。</x:v>
      </x:c>
      <x:c r="I69" s="144" t="str">
        <x:v>把火系烧手牌的代价转换成水系X费的额外结算规模；为了大X必须主动缩减本回合手牌。</x:v>
      </x:c>
      <x:c r="J69" s="144" t="str">
        <x:v>中</x:v>
      </x:c>
      <x:c r="K69" s="144" t="str">
        <x:v>V4执行池继承</x:v>
      </x:c>
      <x:c r="L69" s="144" t="str">
        <x:v>—</x:v>
      </x:c>
      <x:c r="M69" s="144" t="str">
        <x:v>保留</x:v>
      </x:c>
      <x:c r="N69" s="144" t="str">
        <x:v>现有V3保留。</x:v>
      </x:c>
      <x:c r="O69" s="144" t="str">
        <x:v>基础与升级审阅定稿</x:v>
      </x:c>
      <x:c r="P69" s="144" t="str">
        <x:v>2026-08-15水系升级同步。</x:v>
      </x:c>
      <x:c r="Q69" s="144" t="str">
        <x:v>0</x:v>
      </x:c>
      <x:c r="R69" s="144" t="str">
        <x:v>焚毁任意张手牌。本回合打出的下一张X费牌结算时，X增加N（N=本次焚毁的牌数）。</x:v>
      </x:c>
    </x:row>
    <x:row r="70" ht="72" customHeight="1">
      <x:c r="A70" s="144" t="str">
        <x:v>BX022</x:v>
      </x:c>
      <x:c r="B70" s="144" t="str">
        <x:v>灼浪侵袭</x:v>
      </x:c>
      <x:c r="C70" s="144" t="str">
        <x:v>火·水</x:v>
      </x:c>
      <x:c r="D70" s="144" t="str">
        <x:v>灼伤 ↔ 虚弱</x:v>
      </x:c>
      <x:c r="E70" s="144" t="str">
        <x:v>蓝</x:v>
      </x:c>
      <x:c r="F70" s="144" t="n">
        <x:v>2</x:v>
      </x:c>
      <x:c r="G70" s="144" t="str">
        <x:v>伤害</x:v>
      </x:c>
      <x:c r="H70" s="144" t="str">
        <x:v>造成11点伤害。施加2层灼伤和2回合虚弱。</x:v>
      </x:c>
      <x:c r="I70" s="144" t="str">
        <x:v>火系提供灼伤，水系提供虚弱。</x:v>
      </x:c>
      <x:c r="J70" s="144" t="str">
        <x:v>低</x:v>
      </x:c>
      <x:c r="K70" s="144" t="str">
        <x:v>2026-08水系审阅</x:v>
      </x:c>
      <x:c r="L70" s="144" t="str">
        <x:v>—</x:v>
      </x:c>
      <x:c r="M70" s="144" t="str">
        <x:v>本轮新增</x:v>
      </x:c>
      <x:c r="N70" s="144" t="str">
        <x:v>同步所属属性主池</x:v>
      </x:c>
      <x:c r="O70" s="144" t="str">
        <x:v>基础与升级审阅定稿</x:v>
      </x:c>
      <x:c r="P70" s="144" t="str">
        <x:v>设计师逐批审阅通过。；2026-08-15水系升级同步。</x:v>
      </x:c>
      <x:c r="Q70" s="144" t="n">
        <x:v>2</x:v>
      </x:c>
      <x:c r="R70" s="144" t="str">
        <x:v>造成11点伤害。施加3层灼伤和3回合虚弱。</x:v>
      </x:c>
    </x:row>
    <x:row r="71" ht="72" customHeight="1">
      <x:c r="A71" s="144" t="str">
        <x:v>BX023</x:v>
      </x:c>
      <x:c r="B71" s="144" t="str">
        <x:v>逆压</x:v>
      </x:c>
      <x:c r="C71" s="144" t="str">
        <x:v>火·水</x:v>
      </x:c>
      <x:c r="D71" s="144" t="str">
        <x:v>自施灼伤 ↔ 净化</x:v>
      </x:c>
      <x:c r="E71" s="144" t="str">
        <x:v>蓝</x:v>
      </x:c>
      <x:c r="F71" s="144" t="n">
        <x:v>1</x:v>
      </x:c>
      <x:c r="G71" s="144" t="str">
        <x:v>伤害</x:v>
      </x:c>
      <x:c r="H71" s="144" t="str">
        <x:v>造成24点伤害。对自己施加2层灼伤。消耗。</x:v>
      </x:c>
      <x:c r="I71" s="144" t="str">
        <x:v>用火系灼伤支付水系高伤，并可由水系净化。</x:v>
      </x:c>
      <x:c r="J71" s="144" t="str">
        <x:v>低</x:v>
      </x:c>
      <x:c r="K71" s="144" t="str">
        <x:v>2026-08水系审阅</x:v>
      </x:c>
      <x:c r="L71" s="144" t="str">
        <x:v>—</x:v>
      </x:c>
      <x:c r="M71" s="144" t="str">
        <x:v>本轮新增</x:v>
      </x:c>
      <x:c r="N71" s="144" t="str">
        <x:v>同步所属属性主池</x:v>
      </x:c>
      <x:c r="O71" s="144" t="str">
        <x:v>基础与升级审阅定稿</x:v>
      </x:c>
      <x:c r="P71" s="144" t="str">
        <x:v>设计师逐批审阅通过。；2026-08-15水系升级同步。</x:v>
      </x:c>
      <x:c r="Q71" s="144" t="n">
        <x:v>1</x:v>
      </x:c>
      <x:c r="R71" s="144" t="str">
        <x:v>造成30点伤害。对自己施加2层灼伤。消耗。</x:v>
      </x:c>
    </x:row>
    <x:row r="72" ht="72" customHeight="1">
      <x:c r="A72" s="144" t="str">
        <x:v>BX026</x:v>
      </x:c>
      <x:c r="B72" s="144" t="str">
        <x:v>失衡爆流</x:v>
      </x:c>
      <x:c r="C72" s="144" t="str">
        <x:v>火·水</x:v>
      </x:c>
      <x:c r="D72" s="144" t="str">
        <x:v>力量／敏捷降低 ↔ 多段／净化</x:v>
      </x:c>
      <x:c r="E72" s="144" t="str">
        <x:v>金</x:v>
      </x:c>
      <x:c r="F72" s="144" t="n">
        <x:v>1</x:v>
      </x:c>
      <x:c r="G72" s="144" t="str">
        <x:v>伤害</x:v>
      </x:c>
      <x:c r="H72" s="144" t="str">
        <x:v>失去2点力量和2点敏捷。造成15点伤害，重复2次。</x:v>
      </x:c>
      <x:c r="I72" s="144" t="str">
        <x:v>高额多段以可净化属性降低为代价。</x:v>
      </x:c>
      <x:c r="J72" s="144" t="str">
        <x:v>低</x:v>
      </x:c>
      <x:c r="K72" s="144" t="str">
        <x:v>2026-08水系审阅</x:v>
      </x:c>
      <x:c r="L72" s="144" t="str">
        <x:v>—</x:v>
      </x:c>
      <x:c r="M72" s="144" t="str">
        <x:v>本轮新增</x:v>
      </x:c>
      <x:c r="N72" s="144" t="str">
        <x:v>同步所属属性主池</x:v>
      </x:c>
      <x:c r="O72" s="144" t="str">
        <x:v>基础与升级审阅定稿</x:v>
      </x:c>
      <x:c r="P72" s="144" t="str">
        <x:v>设计师逐批审阅通过。；2026-08-15水系升级同步。</x:v>
      </x:c>
      <x:c r="Q72" s="144" t="n">
        <x:v>1</x:v>
      </x:c>
      <x:c r="R72" s="144" t="str">
        <x:v>失去2点力量和2点敏捷。造成18点伤害，重复2次。</x:v>
      </x:c>
    </x:row>
    <x:row r="73" ht="72" customHeight="1">
      <x:c r="A73" s="144" t="str">
        <x:v>SG013</x:v>
      </x:c>
      <x:c r="B73" s="144" t="str">
        <x:v>蒸汽回收</x:v>
      </x:c>
      <x:c r="C73" s="144" t="str">
        <x:v>火·水</x:v>
      </x:c>
      <x:c r="D73" s="144" t="str">
        <x:v>焚毁／灼伤 ↔ X费／泡影／冲刷</x:v>
      </x:c>
      <x:c r="E73" s="144" t="str">
        <x:v>蓝</x:v>
      </x:c>
      <x:c r="F73" s="144" t="str">
        <x:v>1</x:v>
      </x:c>
      <x:c r="G73" s="144" t="str">
        <x:v>技能</x:v>
      </x:c>
      <x:c r="H73" s="144" t="str">
        <x:v>焚毁1张手牌。获得等同其当前能量费用的能量。</x:v>
      </x:c>
      <x:c r="I73" s="144" t="str">
        <x:v>火系焚毁把高费牌转成能量，直接供给水系X费终端。</x:v>
      </x:c>
      <x:c r="J73" s="144" t="str">
        <x:v>低</x:v>
      </x:c>
      <x:c r="K73" s="144" t="str">
        <x:v>前轮用户保留</x:v>
      </x:c>
      <x:c r="L73" s="144" t="str">
        <x:v>Recycle</x:v>
      </x:c>
      <x:c r="M73" s="144" t="str">
        <x:v>A</x:v>
      </x:c>
      <x:c r="N73" s="144" t="str">
        <x:v>用户修订后保留；本轮未判定为重复。</x:v>
      </x:c>
      <x:c r="O73" s="144" t="str">
        <x:v>基础与升级审阅定稿</x:v>
      </x:c>
      <x:c r="P73" s="144" t="str">
        <x:v>2026-08-15水系升级同步。</x:v>
      </x:c>
      <x:c r="Q73" s="144" t="n">
        <x:v>0</x:v>
      </x:c>
      <x:c r="R73" s="144" t="str">
        <x:v>焚毁1张手牌。获得等同于其当前能量费用的能量。</x:v>
      </x:c>
    </x:row>
    <x:row r="74" ht="72" customHeight="1">
      <x:c r="A74" s="144" t="str">
        <x:v>SG014</x:v>
      </x:c>
      <x:c r="B74" s="144" t="str">
        <x:v>涡轮焚流</x:v>
      </x:c>
      <x:c r="C74" s="144" t="str">
        <x:v>火·水</x:v>
      </x:c>
      <x:c r="D74" s="144" t="str">
        <x:v>焚毁／灼伤 ↔ X费／泡影／冲刷</x:v>
      </x:c>
      <x:c r="E74" s="144" t="str">
        <x:v>金</x:v>
      </x:c>
      <x:c r="F74" s="144" t="str">
        <x:v>X</x:v>
      </x:c>
      <x:c r="G74" s="144" t="str">
        <x:v>伤害</x:v>
      </x:c>
      <x:c r="H74" s="144" t="str">
        <x:v>消耗所有能量。每消耗1点能量，焚毁抽牌堆顶2张牌。每焚毁1张牌，造成5点伤害。消耗。</x:v>
      </x:c>
      <x:c r="I74" s="144" t="str">
        <x:v>X决定多段规模，也决定火系牌库压缩规模。</x:v>
      </x:c>
      <x:c r="J74" s="144" t="str">
        <x:v>中</x:v>
      </x:c>
      <x:c r="K74" s="144" t="str">
        <x:v>前轮用户保留</x:v>
      </x:c>
      <x:c r="L74" s="144" t="str">
        <x:v>Whirlwind／Tempest</x:v>
      </x:c>
      <x:c r="M74" s="144" t="str">
        <x:v>B</x:v>
      </x:c>
      <x:c r="N74" s="144" t="str">
        <x:v>用户修订后保留；本轮未判定为重复。</x:v>
      </x:c>
      <x:c r="O74" s="144" t="str">
        <x:v>基础与升级审阅定稿</x:v>
      </x:c>
      <x:c r="P74" s="144" t="str">
        <x:v>涉水复审：按能量焚毁，每焚毁1张造成5点伤害。；2026-08-15水系升级同步。</x:v>
      </x:c>
      <x:c r="Q74" s="144" t="str">
        <x:v>X</x:v>
      </x:c>
      <x:c r="R74" s="144" t="str">
        <x:v>消耗所有能量。每消耗1点能量，焚毁抽牌堆顶2张牌。每焚毁1张牌，造成7点伤害。消耗。</x:v>
      </x:c>
    </x:row>
    <x:row r="75" ht="72" customHeight="1">
      <x:c r="A75" s="144" t="str">
        <x:v>SG015</x:v>
      </x:c>
      <x:c r="B75" s="144" t="str">
        <x:v>逆流排烟</x:v>
      </x:c>
      <x:c r="C75" s="144" t="str">
        <x:v>火·水</x:v>
      </x:c>
      <x:c r="D75" s="144" t="str">
        <x:v>焚毁／灼伤 ↔ X费／泡影／冲刷</x:v>
      </x:c>
      <x:c r="E75" s="144" t="str">
        <x:v>金</x:v>
      </x:c>
      <x:c r="F75" s="144" t="str">
        <x:v>1</x:v>
      </x:c>
      <x:c r="G75" s="144" t="str">
        <x:v>能力</x:v>
      </x:c>
      <x:c r="H75" s="144" t="str">
        <x:v>本场战斗中，每回合有牌被消耗时，抽1张牌；若抽到的牌与上一张打出的牌类型不同，再抽1张牌。消耗。</x:v>
      </x:c>
      <x:c r="I75" s="144" t="str">
        <x:v>焚毁启动过牌，攻击／技能交替进一步支持牌序条件。</x:v>
      </x:c>
      <x:c r="J75" s="144" t="str">
        <x:v>中</x:v>
      </x:c>
      <x:c r="K75" s="144" t="str">
        <x:v>前轮用户保留</x:v>
      </x:c>
      <x:c r="L75" s="144" t="str">
        <x:v>Dark Embrace／Heatsinks</x:v>
      </x:c>
      <x:c r="M75" s="144" t="str">
        <x:v>C</x:v>
      </x:c>
      <x:c r="N75" s="144" t="str">
        <x:v>用户修订后保留；本轮未判定为重复。</x:v>
      </x:c>
      <x:c r="O75" s="144" t="str">
        <x:v>基础与升级审阅定稿</x:v>
      </x:c>
      <x:c r="P75" s="144" t="str">
        <x:v>2026-08-15水系升级同步。</x:v>
      </x:c>
      <x:c r="Q75" s="144" t="n">
        <x:v>0</x:v>
      </x:c>
      <x:c r="R75" s="144" t="str">
        <x:v>本场战斗中，每回合有牌被消耗时，抽1张牌；若抽到的牌与上一张打出的牌类型不同，再抽1张牌。消耗。</x:v>
      </x:c>
    </x:row>
    <x:row r="76" ht="72" customHeight="1">
      <x:c r="A76" s="144" t="str">
        <x:v>SG016</x:v>
      </x:c>
      <x:c r="B76" s="144" t="str">
        <x:v>燃尽泡影</x:v>
      </x:c>
      <x:c r="C76" s="144" t="str">
        <x:v>火·水</x:v>
      </x:c>
      <x:c r="D76" s="144" t="str">
        <x:v>焚毁／灼伤 ↔ X费／泡影／冲刷</x:v>
      </x:c>
      <x:c r="E76" s="144" t="str">
        <x:v>蓝</x:v>
      </x:c>
      <x:c r="F76" s="144" t="str">
        <x:v>1</x:v>
      </x:c>
      <x:c r="G76" s="144" t="str">
        <x:v>技能</x:v>
      </x:c>
      <x:c r="H76" s="144" t="str">
        <x:v>焚毁1。若焚毁的是燃料牌，获得1层泡影。消耗。</x:v>
      </x:c>
      <x:c r="I76" s="144" t="str">
        <x:v>火系牺牲高价值燃料触发效果，再换取水系一次伤害免疫。</x:v>
      </x:c>
      <x:c r="J76" s="144" t="str">
        <x:v>低</x:v>
      </x:c>
      <x:c r="K76" s="144" t="str">
        <x:v>前轮用户保留</x:v>
      </x:c>
      <x:c r="L76" s="144" t="str">
        <x:v>Buffer／Sentinel</x:v>
      </x:c>
      <x:c r="M76" s="144" t="str">
        <x:v>A</x:v>
      </x:c>
      <x:c r="N76" s="144" t="str">
        <x:v>用户修订后保留；本轮未判定为重复。</x:v>
      </x:c>
      <x:c r="O76" s="144" t="str">
        <x:v>基础与升级审阅定稿</x:v>
      </x:c>
      <x:c r="P76" s="144" t="str">
        <x:v>2026-08-15水系升级同步。</x:v>
      </x:c>
      <x:c r="Q76" s="144" t="str">
        <x:v>1</x:v>
      </x:c>
      <x:c r="R76" s="144" t="str">
        <x:v>焚毁1。若焚毁的是燃料牌，获得2层泡影。消耗。</x:v>
      </x:c>
    </x:row>
    <x:row r="77" ht="72" customHeight="1">
      <x:c r="A77" s="144" t="str">
        <x:v>SG017</x:v>
      </x:c>
      <x:c r="B77" s="144" t="str">
        <x:v>清炉</x:v>
      </x:c>
      <x:c r="C77" s="144" t="str">
        <x:v>火·水</x:v>
      </x:c>
      <x:c r="D77" s="144" t="str">
        <x:v>焚毁／灼伤 ↔ X费／泡影／冲刷</x:v>
      </x:c>
      <x:c r="E77" s="144" t="str">
        <x:v>蓝</x:v>
      </x:c>
      <x:c r="F77" s="144" t="str">
        <x:v>1</x:v>
      </x:c>
      <x:c r="G77" s="144" t="str">
        <x:v>技能</x:v>
      </x:c>
      <x:c r="H77" s="144" t="str">
        <x:v>焚毁1张手牌。移除自身1个可移除的负面状态；若焚毁的是燃料牌，抽2张牌。消耗。</x:v>
      </x:c>
      <x:c r="I77" s="144" t="str">
        <x:v>冲刷提供净化，燃料让焚毁不纯亏资源。</x:v>
      </x:c>
      <x:c r="J77" s="144" t="str">
        <x:v>低</x:v>
      </x:c>
      <x:c r="K77" s="144" t="str">
        <x:v>前轮用户保留</x:v>
      </x:c>
      <x:c r="L77" s="144" t="str">
        <x:v>Purity／Core Surge</x:v>
      </x:c>
      <x:c r="M77" s="144" t="str">
        <x:v>A</x:v>
      </x:c>
      <x:c r="N77" s="144" t="str">
        <x:v>用户修订后保留；本轮未判定为重复。</x:v>
      </x:c>
      <x:c r="O77" s="144" t="str">
        <x:v>基础与升级审阅定稿</x:v>
      </x:c>
      <x:c r="P77" s="144" t="str">
        <x:v>涉水复审：燃料牌抽2。；2026-08-15水系升级同步。</x:v>
      </x:c>
      <x:c r="Q77" s="144" t="str">
        <x:v>1</x:v>
      </x:c>
      <x:c r="R77" s="144" t="str">
        <x:v>焚毁1张手牌。移除自身1个可移除的负面状态；若焚毁的是燃料牌，抽3张牌。消耗。</x:v>
      </x:c>
    </x:row>
    <x:row r="78" ht="72" customHeight="1">
      <x:c r="A78" s="144" t="str">
        <x:v>SG018</x:v>
      </x:c>
      <x:c r="B78" s="144" t="str">
        <x:v>灼潮节拍</x:v>
      </x:c>
      <x:c r="C78" s="144" t="str">
        <x:v>火·水</x:v>
      </x:c>
      <x:c r="D78" s="144" t="str">
        <x:v>焚毁／灼伤 ↔ X费／泡影／冲刷</x:v>
      </x:c>
      <x:c r="E78" s="144" t="str">
        <x:v>蓝</x:v>
      </x:c>
      <x:c r="F78" s="144" t="str">
        <x:v>1</x:v>
      </x:c>
      <x:c r="G78" s="144" t="str">
        <x:v>伤害</x:v>
      </x:c>
      <x:c r="H78" s="144" t="str">
        <x:v>造成7点伤害。若本回合上一张打出的牌为技能牌，施加2层灼伤并使灼伤等级+I。</x:v>
      </x:c>
      <x:c r="I78" s="144" t="str">
        <x:v>水系牌序条件条件转化为火系铺灼伤。</x:v>
      </x:c>
      <x:c r="J78" s="144" t="str">
        <x:v>低</x:v>
      </x:c>
      <x:c r="K78" s="144" t="str">
        <x:v>前轮用户保留</x:v>
      </x:c>
      <x:c r="L78" s="144" t="str">
        <x:v>Follow-Up／Crush Joints</x:v>
      </x:c>
      <x:c r="M78" s="144" t="str">
        <x:v>A</x:v>
      </x:c>
      <x:c r="N78" s="144" t="str">
        <x:v>用户修订后保留；本轮未判定为重复。</x:v>
      </x:c>
      <x:c r="O78" s="144" t="str">
        <x:v>基础与升级审阅定稿</x:v>
      </x:c>
      <x:c r="P78" s="144" t="str">
        <x:v>2026-08-15水系升级同步。</x:v>
      </x:c>
      <x:c r="Q78" s="144" t="str">
        <x:v>1</x:v>
      </x:c>
      <x:c r="R78" s="144" t="str">
        <x:v>造成10点伤害。若本回合上一张打出的牌为技能牌，施加2层灼伤并使灼伤等级+Ⅰ。</x:v>
      </x:c>
    </x:row>
    <x:row r="79" ht="72" customHeight="1">
      <x:c r="A79" s="144" t="str">
        <x:v>BX020</x:v>
      </x:c>
      <x:c r="B79" s="144" t="str">
        <x:v>应答圣咏</x:v>
      </x:c>
      <x:c r="C79" s="144" t="str">
        <x:v>水·光</x:v>
      </x:c>
      <x:c r="D79" s="144" t="str">
        <x:v>敌人意图 ↔ 神启</x:v>
      </x:c>
      <x:c r="E79" s="144" t="str">
        <x:v>蓝</x:v>
      </x:c>
      <x:c r="F79" s="144" t="str">
        <x:v>1</x:v>
      </x:c>
      <x:c r="G79" s="144" t="str">
        <x:v>技能</x:v>
      </x:c>
      <x:c r="H79" s="144" t="str">
        <x:v>选择1个敌人。获得6点护盾。若其意图包含攻击，获得3层神启。</x:v>
      </x:c>
      <x:c r="I79" s="144" t="str">
        <x:v>水系根据单一敌人意图做判断，光系获得神临进度；未命中条件时仍保留基础防御。</x:v>
      </x:c>
      <x:c r="J79" s="144" t="str">
        <x:v>低</x:v>
      </x:c>
      <x:c r="K79" s="144" t="str">
        <x:v>V4执行池继承</x:v>
      </x:c>
      <x:c r="L79" s="144" t="str">
        <x:v>—</x:v>
      </x:c>
      <x:c r="M79" s="144" t="str">
        <x:v>保留</x:v>
      </x:c>
      <x:c r="N79" s="144" t="str">
        <x:v>现有V3保留。</x:v>
      </x:c>
      <x:c r="O79" s="144" t="str">
        <x:v>基础与升级审阅定稿</x:v>
      </x:c>
      <x:c r="P79" s="144" t="str">
        <x:v>涉光复审：护盾5→6。；2026-08-15水系升级同步。</x:v>
      </x:c>
      <x:c r="Q79" s="144" t="str">
        <x:v>1</x:v>
      </x:c>
      <x:c r="R79" s="144" t="str">
        <x:v>选择1个敌人。获得8点护盾。若其意图包含攻击，获得3层神启。</x:v>
      </x:c>
    </x:row>
    <x:row r="80" ht="72" customHeight="1">
      <x:c r="A80" s="144" t="str">
        <x:v>BX021</x:v>
      </x:c>
      <x:c r="B80" s="144" t="str">
        <x:v>折光双潮</x:v>
      </x:c>
      <x:c r="C80" s="144" t="str">
        <x:v>水·光</x:v>
      </x:c>
      <x:c r="D80" s="144" t="str">
        <x:v>多段 ↔ 卡牌强化</x:v>
      </x:c>
      <x:c r="E80" s="144" t="str">
        <x:v>金</x:v>
      </x:c>
      <x:c r="F80" s="144" t="n">
        <x:v>2</x:v>
      </x:c>
      <x:c r="G80" s="144" t="str">
        <x:v>伤害</x:v>
      </x:c>
      <x:c r="H80" s="144" t="str">
        <x:v>造成9点伤害，重复2次。选择手牌中1张多段伤害牌。本场战斗中，其重复次数+1。</x:v>
      </x:c>
      <x:c r="I80" s="144" t="str">
        <x:v>水系提供多段主体，光系把一张实体多段牌培养为更高段数。</x:v>
      </x:c>
      <x:c r="J80" s="144" t="str">
        <x:v>中</x:v>
      </x:c>
      <x:c r="K80" s="144" t="str">
        <x:v>属性主池同步</x:v>
      </x:c>
      <x:c r="L80" s="144" t="str">
        <x:v>—</x:v>
      </x:c>
      <x:c r="M80" s="144" t="str">
        <x:v>本轮设计师新增</x:v>
      </x:c>
      <x:c r="N80" s="144" t="str">
        <x:v>同编号同步到水系、光系和胶水池。</x:v>
      </x:c>
      <x:c r="O80" s="144" t="str">
        <x:v>基础与升级审阅定稿</x:v>
      </x:c>
      <x:c r="P80" s="144" t="str">
        <x:v>2026-08新增并通过。；2026-08-15水系升级同步。</x:v>
      </x:c>
      <x:c r="Q80" s="144" t="n">
        <x:v>2</x:v>
      </x:c>
      <x:c r="R80" s="144" t="str">
        <x:v>造成12点伤害，重复2次。选择手牌中1张多段伤害牌。本场战斗中，其重复次数+1。</x:v>
      </x:c>
    </x:row>
    <x:row r="81" ht="72" customHeight="1">
      <x:c r="A81" s="144" t="str">
        <x:v>SG055</x:v>
      </x:c>
      <x:c r="B81" s="144" t="str">
        <x:v>聚光连舞</x:v>
      </x:c>
      <x:c r="C81" s="144" t="str">
        <x:v>水·光</x:v>
      </x:c>
      <x:c r="D81" s="144" t="str">
        <x:v>意图／泡影／冲刷／X费 ↔ 光羽／神启／生成牌</x:v>
      </x:c>
      <x:c r="E81" s="144" t="str">
        <x:v>蓝</x:v>
      </x:c>
      <x:c r="F81" s="144" t="str">
        <x:v>1</x:v>
      </x:c>
      <x:c r="G81" s="144" t="str">
        <x:v>伤害</x:v>
      </x:c>
      <x:c r="H81" s="144" t="str">
        <x:v>造成6点伤害。若本回合上一张打出的牌为技能牌，将2张【光羽】加入手牌。</x:v>
      </x:c>
      <x:c r="I81" s="144" t="str">
        <x:v>牌序条件命中后生成光羽，继续维持低费牌序。</x:v>
      </x:c>
      <x:c r="J81" s="144" t="str">
        <x:v>低</x:v>
      </x:c>
      <x:c r="K81" s="144" t="str">
        <x:v>前轮用户保留</x:v>
      </x:c>
      <x:c r="L81" s="144" t="str">
        <x:v>Follow-Up／Blade Dance</x:v>
      </x:c>
      <x:c r="M81" s="144" t="str">
        <x:v>A</x:v>
      </x:c>
      <x:c r="N81" s="144" t="str">
        <x:v>用户修订后保留；本轮未判定为重复。</x:v>
      </x:c>
      <x:c r="O81" s="144" t="str">
        <x:v>基础与升级审阅定稿</x:v>
      </x:c>
      <x:c r="P81" s="144" t="str">
        <x:v>2026-08-15水系升级同步。</x:v>
      </x:c>
      <x:c r="Q81" s="144" t="str">
        <x:v>1</x:v>
      </x:c>
      <x:c r="R81" s="144" t="str">
        <x:v>造成6点伤害。若本回合上一张打出的牌为技能牌，将3张【光羽】加入手牌。</x:v>
      </x:c>
    </x:row>
    <x:row r="82" ht="72" customHeight="1">
      <x:c r="A82" s="144" t="str">
        <x:v>SG057</x:v>
      </x:c>
      <x:c r="B82" s="144" t="str">
        <x:v>清祷</x:v>
      </x:c>
      <x:c r="C82" s="144" t="str">
        <x:v>水·光</x:v>
      </x:c>
      <x:c r="D82" s="144" t="str">
        <x:v>意图／泡影／冲刷／X费 ↔ 光羽／神启／生成牌</x:v>
      </x:c>
      <x:c r="E82" s="144" t="str">
        <x:v>蓝</x:v>
      </x:c>
      <x:c r="F82" s="144" t="str">
        <x:v>1</x:v>
      </x:c>
      <x:c r="G82" s="144" t="str">
        <x:v>技能</x:v>
      </x:c>
      <x:c r="H82" s="144" t="str">
        <x:v>移除自身1个可移除的负面状态。获得3层神启。</x:v>
      </x:c>
      <x:c r="I82" s="144" t="str">
        <x:v>水系冲刷成功后推进光系神临。</x:v>
      </x:c>
      <x:c r="J82" s="144" t="str">
        <x:v>低</x:v>
      </x:c>
      <x:c r="K82" s="144" t="str">
        <x:v>前轮用户保留</x:v>
      </x:c>
      <x:c r="L82" s="144" t="str">
        <x:v>Panacea／Pray</x:v>
      </x:c>
      <x:c r="M82" s="144" t="str">
        <x:v>A</x:v>
      </x:c>
      <x:c r="N82" s="144" t="str">
        <x:v>用户修订后保留；本轮未判定为重复。</x:v>
      </x:c>
      <x:c r="O82" s="144" t="str">
        <x:v>基础与升级审阅定稿</x:v>
      </x:c>
      <x:c r="P82" s="144" t="str">
        <x:v>2026-08-15水系升级同步。</x:v>
      </x:c>
      <x:c r="Q82" s="144" t="n">
        <x:v>0</x:v>
      </x:c>
      <x:c r="R82" s="144" t="str">
        <x:v>移除自身1个可移除的负面状态。获得3层神启。</x:v>
      </x:c>
    </x:row>
    <x:row r="83" ht="72" customHeight="1">
      <x:c r="A83" s="144" t="str">
        <x:v>SG058</x:v>
      </x:c>
      <x:c r="B83" s="144" t="str">
        <x:v>应势启示</x:v>
      </x:c>
      <x:c r="C83" s="144" t="str">
        <x:v>水·光</x:v>
      </x:c>
      <x:c r="D83" s="144" t="str">
        <x:v>意图／泡影／冲刷／X费 ↔ 光羽／神启／生成牌</x:v>
      </x:c>
      <x:c r="E83" s="144" t="str">
        <x:v>蓝</x:v>
      </x:c>
      <x:c r="F83" s="144" t="str">
        <x:v>1</x:v>
      </x:c>
      <x:c r="G83" s="144" t="str">
        <x:v>技能</x:v>
      </x:c>
      <x:c r="H83" s="144" t="str">
        <x:v>选择1个敌人。若其意图包含攻击，随机生成1张法术牌加入手牌，其费用在本回合降为0。消耗。</x:v>
      </x:c>
      <x:c r="I83" s="144" t="str">
        <x:v>水系只读取攻击意图，光系按结果生成应对牌。</x:v>
      </x:c>
      <x:c r="J83" s="144" t="str">
        <x:v>中</x:v>
      </x:c>
      <x:c r="K83" s="144" t="str">
        <x:v>前轮用户保留</x:v>
      </x:c>
      <x:c r="L83" s="144" t="str">
        <x:v>Foreign Influence／Go for the Eyes</x:v>
      </x:c>
      <x:c r="M83" s="144" t="str">
        <x:v>A</x:v>
      </x:c>
      <x:c r="N83" s="144" t="str">
        <x:v>用户修订后保留；本轮未判定为重复。</x:v>
      </x:c>
      <x:c r="O83" s="144" t="str">
        <x:v>基础与升级审阅定稿</x:v>
      </x:c>
      <x:c r="P83" s="144" t="str">
        <x:v>2026-08-15水系升级同步。</x:v>
      </x:c>
      <x:c r="Q83" s="144" t="str">
        <x:v>1</x:v>
      </x:c>
      <x:c r="R83" s="144" t="str">
        <x:v>选择1个敌人。若其意图包含攻击，随机生成1张法术牌加入手牌，其费用在本回合降为0。</x:v>
      </x:c>
    </x:row>
    <x:row r="84" ht="72" customHeight="1">
      <x:c r="A84" s="144" t="str">
        <x:v>SG059</x:v>
      </x:c>
      <x:c r="B84" s="144" t="str">
        <x:v>星潮转化</x:v>
      </x:c>
      <x:c r="C84" s="144" t="str">
        <x:v>水·光</x:v>
      </x:c>
      <x:c r="D84" s="144" t="str">
        <x:v>意图／泡影／冲刷／X费 ↔ 光羽／神启／生成牌</x:v>
      </x:c>
      <x:c r="E84" s="144" t="str">
        <x:v>金</x:v>
      </x:c>
      <x:c r="F84" s="144" t="str">
        <x:v>X</x:v>
      </x:c>
      <x:c r="G84" s="144" t="str">
        <x:v>技能</x:v>
      </x:c>
      <x:c r="H84" s="144" t="str">
        <x:v>消耗所有能量。随机生成X张水系牌加入手牌。它们的费用在本回合降为0。消耗。</x:v>
      </x:c>
      <x:c r="I84" s="144" t="str">
        <x:v>水系X费决定本系牌的生成规模，光系提供当回合0费展开。</x:v>
      </x:c>
      <x:c r="J84" s="144" t="str">
        <x:v>中</x:v>
      </x:c>
      <x:c r="K84" s="144" t="str">
        <x:v>前轮用户保留</x:v>
      </x:c>
      <x:c r="L84" s="144" t="str">
        <x:v>Transmutation／Collect</x:v>
      </x:c>
      <x:c r="M84" s="144" t="str">
        <x:v>A</x:v>
      </x:c>
      <x:c r="N84" s="144" t="str">
        <x:v>用户修订后保留；本轮未判定为重复。</x:v>
      </x:c>
      <x:c r="O84" s="144" t="str">
        <x:v>基础与升级审阅定稿</x:v>
      </x:c>
      <x:c r="P84" s="144" t="str">
        <x:v>涉光复审：无色牌改为水系牌。；2026-08-15水系升级同步。</x:v>
      </x:c>
      <x:c r="Q84" s="144" t="str">
        <x:v>X</x:v>
      </x:c>
      <x:c r="R84" s="144" t="str">
        <x:v>消耗所有能量。随机生成X+1张水系牌加入手牌。它们的费用在本回合降为0。消耗。</x:v>
      </x:c>
    </x:row>
    <x:row r="85" ht="72" customHeight="1">
      <x:c r="A85" s="145" t="str">
        <x:v>SG060</x:v>
      </x:c>
      <x:c r="B85" s="145" t="str">
        <x:v>迟明保留</x:v>
      </x:c>
      <x:c r="C85" s="145" t="str">
        <x:v>水·光</x:v>
      </x:c>
      <x:c r="D85" s="145" t="str">
        <x:v>意图／泡影／冲刷／X费 ↔ 光羽／神启／生成牌</x:v>
      </x:c>
      <x:c r="E85" s="145" t="str">
        <x:v>蓝</x:v>
      </x:c>
      <x:c r="F85" s="145" t="str">
        <x:v>1</x:v>
      </x:c>
      <x:c r="G85" s="145" t="str">
        <x:v>技能</x:v>
      </x:c>
      <x:c r="H85" s="145" t="str">
        <x:v>获得3层神启。选择1张其他手牌，使其获得保留。消耗。</x:v>
      </x:c>
      <x:c r="I85" s="145" t="str">
        <x:v>光系先推进神启，水系再保留另一张关键手牌。</x:v>
      </x:c>
      <x:c r="J85" s="145" t="str">
        <x:v>中</x:v>
      </x:c>
      <x:c r="K85" s="145" t="str">
        <x:v>前轮用户保留</x:v>
      </x:c>
      <x:c r="L85" s="145" t="str">
        <x:v>Establishment／Glow</x:v>
      </x:c>
      <x:c r="M85" s="145" t="str">
        <x:v>A</x:v>
      </x:c>
      <x:c r="N85" s="145" t="str">
        <x:v>用户修订后保留；本轮未判定为重复。</x:v>
      </x:c>
      <x:c r="O85" s="145" t="str">
        <x:v>基础与升级审阅定稿</x:v>
      </x:c>
      <x:c r="P85" s="145" t="str">
        <x:v>涉光复审：改为立即获得3点神启，并为另一张手牌添加保留。；2026-08-15水系升级同步。</x:v>
      </x:c>
      <x:c r="Q85" s="145" t="str">
        <x:v>1</x:v>
      </x:c>
      <x:c r="R85" s="145" t="str">
        <x:v>获得3层神启。选择1张其他手牌，使其获得保留。</x:v>
      </x:c>
    </x:row>
    <x:row r="86" ht="64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</x:row>
  </x:sheetData>
  <x:mergeCells>
    <x:mergeCell ref="A1:R1"/>
    <x:mergeCell ref="A2:R2"/>
  </x:mergeCells>
  <x:dataValidations count="1">
    <x:dataValidation type="list" sqref="O5:O68">
      <x:formula1>"现有保留,用户保留,修改,删除,待定"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7702ee0b0f45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6" hidden="0" customWidth="1"/>
    <x:col min="6" max="6" width="24" hidden="0" customWidth="1"/>
    <x:col min="7" max="7" width="16" hidden="0" customWidth="1"/>
    <x:col min="8" max="8" width="4" hidden="0" customWidth="1"/>
    <x:col min="9" max="9" width="43.33000183105469" hidden="0" customWidth="1"/>
  </x:cols>
  <x:sheetData>
    <x:row r="1" ht="28" customHeight="1">
      <x:c r="A1" s="125" t="str">
        <x:v>双系胶水卡 V8｜组合总览</x:v>
      </x:c>
      <x:c r="B1" s="125"/>
      <x:c r="C1" s="125"/>
      <x:c r="D1" s="125"/>
      <x:c r="E1" s="125"/>
      <x:c r="F1" s="125"/>
      <x:c r="G1" s="125"/>
      <x:c r="H1" s="99"/>
      <x:c r="I1"/>
    </x:row>
    <x:row r="2" ht="36" customHeight="1">
      <x:c r="A2"/>
      <x:c r="B2"/>
      <x:c r="C2"/>
      <x:c r="D2"/>
      <x:c r="E2"/>
      <x:c r="F2"/>
      <x:c r="G2"/>
      <x:c r="H2"/>
      <x:c r="I2"/>
    </x:row>
    <x:row r="3">
      <x:c r="A3" s="135" t="str">
        <x:v>属性组合</x:v>
      </x:c>
      <x:c r="B3" s="135" t="str">
        <x:v>卡数</x:v>
      </x:c>
      <x:c r="C3" s="135" t="str">
        <x:v>蓝卡</x:v>
      </x:c>
      <x:c r="D3" s="135" t="str">
        <x:v>金卡</x:v>
      </x:c>
      <x:c r="F3" s="135" t="str">
        <x:v>指标</x:v>
      </x:c>
      <x:c r="G3" s="135" t="str">
        <x:v>结果</x:v>
      </x:c>
    </x:row>
    <x:row r="4" ht="25.5" customHeight="1">
      <x:c r="A4" s="146" t="str">
        <x:v>火·暗</x:v>
      </x:c>
      <x:c r="B4" s="146" t="n">
        <x:f>COUNTIF('合并卡池'!$C$5:$C$85,A4)</x:f>
        <x:v>14</x:v>
      </x:c>
      <x:c r="C4" s="146" t="n">
        <x:f>COUNTIFS('合并卡池'!$C$5:$C$85,A4,'合并卡池'!$E$5:$E$85,"蓝")</x:f>
        <x:v>8</x:v>
      </x:c>
      <x:c r="D4" s="146" t="n">
        <x:f>COUNTIFS('合并卡池'!$C$5:$C$85,A4,'合并卡池'!$E$5:$E$85,"金")</x:f>
        <x:v>6</x:v>
      </x:c>
      <x:c r="E4"/>
      <x:c r="F4" s="126" t="str">
        <x:v>总卡数</x:v>
      </x:c>
      <x:c r="G4" s="126" t="n">
        <x:f>COUNTA('合并卡池'!$A$5:$A$85)</x:f>
        <x:v>81</x:v>
      </x:c>
      <x:c r="H4"/>
      <x:c r="I4"/>
    </x:row>
    <x:row r="5" ht="43.5" customHeight="1">
      <x:c r="A5" s="146" t="str">
        <x:v>火·草</x:v>
      </x:c>
      <x:c r="B5" s="146" t="n">
        <x:f>COUNTIF('合并卡池'!$C$5:$C$85,A5)</x:f>
        <x:v>3</x:v>
      </x:c>
      <x:c r="C5" s="146" t="n">
        <x:f>COUNTIFS('合并卡池'!$C$5:$C$85,A5,'合并卡池'!$E$5:$E$85,"蓝")</x:f>
        <x:v>2</x:v>
      </x:c>
      <x:c r="D5" s="146" t="n">
        <x:f>COUNTIFS('合并卡池'!$C$5:$C$85,A5,'合并卡池'!$E$5:$E$85,"金")</x:f>
        <x:v>1</x:v>
      </x:c>
      <x:c r="E5"/>
      <x:c r="F5" s="126" t="str">
        <x:v>涉水卡</x:v>
      </x:c>
      <x:c r="G5" s="126" t="n">
        <x:f>B6+B9+B11+B13</x:f>
        <x:v>35</x:v>
      </x:c>
      <x:c r="H5"/>
      <x:c r="I5"/>
    </x:row>
    <x:row r="6" ht="43.5" customHeight="1">
      <x:c r="A6" s="146" t="str">
        <x:v>火·水</x:v>
      </x:c>
      <x:c r="B6" s="146" t="n">
        <x:f>COUNTIF('合并卡池'!$C$5:$C$85,A6)</x:f>
        <x:v>10</x:v>
      </x:c>
      <x:c r="C6" s="146" t="n">
        <x:f>COUNTIFS('合并卡池'!$C$5:$C$85,A6,'合并卡池'!$E$5:$E$85,"蓝")</x:f>
        <x:v>6</x:v>
      </x:c>
      <x:c r="D6" s="146" t="n">
        <x:f>COUNTIFS('合并卡池'!$C$5:$C$85,A6,'合并卡池'!$E$5:$E$85,"金")</x:f>
        <x:v>4</x:v>
      </x:c>
      <x:c r="E6"/>
      <x:c r="F6" s="126" t="str">
        <x:v>编号重复</x:v>
      </x:c>
      <x:c r="G6" s="126" t="n">
        <x:f>COUNTA('合并卡池'!$A$5:$A$85)-COUNTA(_xlfn.UNIQUE('合并卡池'!$A$5:$A$85))</x:f>
        <x:v>0</x:v>
      </x:c>
      <x:c r="H6"/>
      <x:c r="I6"/>
    </x:row>
    <x:row r="7" ht="43.5" customHeight="1">
      <x:c r="A7" s="146" t="str">
        <x:v>火·光</x:v>
      </x:c>
      <x:c r="B7" s="146" t="n">
        <x:f>COUNTIF('合并卡池'!$C$5:$C$85,A7)</x:f>
        <x:v>7</x:v>
      </x:c>
      <x:c r="C7" s="146" t="n">
        <x:f>COUNTIFS('合并卡池'!$C$5:$C$85,A7,'合并卡池'!$E$5:$E$85,"蓝")</x:f>
        <x:v>3</x:v>
      </x:c>
      <x:c r="D7" s="146" t="n">
        <x:f>COUNTIFS('合并卡池'!$C$5:$C$85,A7,'合并卡池'!$E$5:$E$85,"金")</x:f>
        <x:v>3</x:v>
      </x:c>
      <x:c r="E7"/>
      <x:c r="F7" s="126" t="str">
        <x:v>涉水升级完整</x:v>
      </x:c>
      <x:c r="G7" s="126" t="n">
        <x:f>COUNTIF('合并卡池'!$R$5:$R$85,"&lt;&gt;")</x:f>
        <x:v>35</x:v>
      </x:c>
      <x:c r="H7"/>
      <x:c r="I7"/>
    </x:row>
    <x:row r="8" ht="43.5" customHeight="1">
      <x:c r="A8" s="146" t="str">
        <x:v>暗·草</x:v>
      </x:c>
      <x:c r="B8" s="146" t="n">
        <x:f>COUNTIF('合并卡池'!$C$5:$C$85,A8)</x:f>
        <x:v>9</x:v>
      </x:c>
      <x:c r="C8" s="146" t="n">
        <x:f>COUNTIFS('合并卡池'!$C$5:$C$85,A8,'合并卡池'!$E$5:$E$85,"蓝")</x:f>
        <x:v>6</x:v>
      </x:c>
      <x:c r="D8" s="146" t="n">
        <x:f>COUNTIFS('合并卡池'!$C$5:$C$85,A8,'合并卡池'!$E$5:$E$85,"金")</x:f>
        <x:v>3</x:v>
      </x:c>
      <x:c r="E8"/>
      <x:c r="F8"/>
      <x:c r="G8"/>
      <x:c r="H8"/>
      <x:c r="I8"/>
    </x:row>
    <x:row r="9" ht="43.5" customHeight="1">
      <x:c r="A9" s="146" t="str">
        <x:v>暗·水</x:v>
      </x:c>
      <x:c r="B9" s="146" t="n">
        <x:f>COUNTIF('合并卡池'!$C$5:$C$85,A9)</x:f>
        <x:v>6</x:v>
      </x:c>
      <x:c r="C9" s="146" t="n">
        <x:f>COUNTIFS('合并卡池'!$C$5:$C$85,A9,'合并卡池'!$E$5:$E$85,"蓝")</x:f>
        <x:v>4</x:v>
      </x:c>
      <x:c r="D9" s="146" t="n">
        <x:f>COUNTIFS('合并卡池'!$C$5:$C$85,A9,'合并卡池'!$E$5:$E$85,"金")</x:f>
        <x:v>2</x:v>
      </x:c>
      <x:c r="E9"/>
      <x:c r="F9"/>
      <x:c r="G9"/>
      <x:c r="H9"/>
      <x:c r="I9"/>
    </x:row>
    <x:row r="10" ht="43.5" customHeight="1">
      <x:c r="A10" s="146" t="str">
        <x:v>暗·光</x:v>
      </x:c>
      <x:c r="B10" s="146" t="n">
        <x:f>COUNTIF('合并卡池'!$C$5:$C$85,A10)</x:f>
        <x:v>9</x:v>
      </x:c>
      <x:c r="C10" s="146" t="n">
        <x:f>COUNTIFS('合并卡池'!$C$5:$C$85,A10,'合并卡池'!$E$5:$E$85,"蓝")</x:f>
        <x:v>4</x:v>
      </x:c>
      <x:c r="D10" s="146" t="n">
        <x:f>COUNTIFS('合并卡池'!$C$5:$C$85,A10,'合并卡池'!$E$5:$E$85,"金")</x:f>
        <x:v>4</x:v>
      </x:c>
      <x:c r="E10"/>
      <x:c r="F10"/>
      <x:c r="G10"/>
      <x:c r="H10"/>
      <x:c r="I10"/>
    </x:row>
    <x:row r="11" ht="43.5" customHeight="1">
      <x:c r="A11" s="146" t="str">
        <x:v>草·水</x:v>
      </x:c>
      <x:c r="B11" s="146" t="n">
        <x:f>COUNTIF('合并卡池'!$C$5:$C$85,A11)</x:f>
        <x:v>12</x:v>
      </x:c>
      <x:c r="C11" s="146" t="n">
        <x:f>COUNTIFS('合并卡池'!$C$5:$C$85,A11,'合并卡池'!$E$5:$E$85,"蓝")</x:f>
        <x:v>7</x:v>
      </x:c>
      <x:c r="D11" s="146" t="n">
        <x:f>COUNTIFS('合并卡池'!$C$5:$C$85,A11,'合并卡池'!$E$5:$E$85,"金")</x:f>
        <x:v>4</x:v>
      </x:c>
      <x:c r="E11"/>
      <x:c r="F11"/>
      <x:c r="G11"/>
      <x:c r="H11"/>
      <x:c r="I11"/>
    </x:row>
    <x:row r="12" ht="43.5" customHeight="1">
      <x:c r="A12" s="146" t="str">
        <x:v>草·光</x:v>
      </x:c>
      <x:c r="B12" s="146" t="n">
        <x:f>COUNTIF('合并卡池'!$C$5:$C$85,A12)</x:f>
        <x:v>4</x:v>
      </x:c>
      <x:c r="C12" s="146" t="n">
        <x:f>COUNTIFS('合并卡池'!$C$5:$C$85,A12,'合并卡池'!$E$5:$E$85,"蓝")</x:f>
        <x:v>1</x:v>
      </x:c>
      <x:c r="D12" s="146" t="n">
        <x:f>COUNTIFS('合并卡池'!$C$5:$C$85,A12,'合并卡池'!$E$5:$E$85,"金")</x:f>
        <x:v>2</x:v>
      </x:c>
      <x:c r="E12"/>
      <x:c r="F12"/>
      <x:c r="G12"/>
      <x:c r="H12"/>
      <x:c r="I12"/>
    </x:row>
    <x:row r="13" ht="43.5" customHeight="1">
      <x:c r="A13" s="146" t="str">
        <x:v>水·光</x:v>
      </x:c>
      <x:c r="B13" s="146" t="n">
        <x:f>COUNTIF('合并卡池'!$C$5:$C$85,A13)</x:f>
        <x:v>7</x:v>
      </x:c>
      <x:c r="C13" s="146" t="n">
        <x:f>COUNTIFS('合并卡池'!$C$5:$C$85,A13,'合并卡池'!$E$5:$E$85,"蓝")</x:f>
        <x:v>5</x:v>
      </x:c>
      <x:c r="D13" s="146" t="n">
        <x:f>COUNTIFS('合并卡池'!$C$5:$C$85,A13,'合并卡池'!$E$5:$E$85,"金")</x:f>
        <x:v>2</x:v>
      </x:c>
      <x:c r="E13"/>
      <x:c r="F13"/>
      <x:c r="G13"/>
      <x:c r="H13"/>
      <x:c r="I13"/>
    </x:row>
    <x:row r="14" ht="43.5" customHeight="1">
      <x:c r="A14"/>
      <x:c r="B14"/>
      <x:c r="C14"/>
      <x:c r="D14"/>
      <x:c r="E14"/>
      <x:c r="F14"/>
      <x:c r="G14"/>
      <x:c r="H14"/>
      <x:c r="I14"/>
    </x:row>
    <x:row r="16" ht="25.5" customHeight="1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</x:sheetData>
  <x:mergeCells>
    <x:mergeCell ref="A1:G1"/>
  </x:mergeCells>
  <x:pageMargins left="0.7" right="0.7" top="0.75" bottom="0.75" header="0.3" footer="0.3"/>
  <x:tableParts count="2">
    <x:tablePart xmlns:r="http://schemas.openxmlformats.org/officeDocument/2006/relationships" r:id="Ref0eefd0af2a4338"/>
    <x:tablePart xmlns:r="http://schemas.openxmlformats.org/officeDocument/2006/relationships" r:id="Rc8aa335e275444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24" hidden="0" customWidth="1"/>
    <x:col min="5" max="5" width="54" hidden="0" customWidth="1"/>
    <x:col min="6" max="6" width="16" hidden="0" customWidth="1"/>
    <x:col min="7" max="7" width="11.670000076293945" hidden="0" customWidth="1"/>
    <x:col min="8" max="8" width="52.220001220703125" hidden="0" customWidth="1"/>
    <x:col min="9" max="9" width="8.670000076293945" hidden="0" customWidth="1"/>
  </x:cols>
  <x:sheetData>
    <x:row r="1" ht="28" customHeight="1">
      <x:c r="A1" s="125" t="str">
        <x:v>V8 水系升级同步变更记录</x:v>
      </x:c>
      <x:c r="B1" s="125"/>
      <x:c r="C1" s="125"/>
      <x:c r="D1" s="125"/>
      <x:c r="E1" s="125"/>
      <x:c r="F1" s="125"/>
      <x:c r="G1"/>
      <x:c r="H1"/>
      <x:c r="I1"/>
    </x:row>
    <x:row r="2" ht="36" customHeight="1">
      <x:c r="A2"/>
      <x:c r="B2"/>
      <x:c r="C2"/>
      <x:c r="D2"/>
      <x:c r="E2"/>
      <x:c r="F2"/>
      <x:c r="G2"/>
      <x:c r="H2"/>
      <x:c r="I2"/>
    </x:row>
    <x:row r="3">
      <x:c r="A3" s="135" t="str">
        <x:v>类别</x:v>
      </x:c>
      <x:c r="B3" s="135" t="str">
        <x:v>编号</x:v>
      </x:c>
      <x:c r="C3" s="135" t="str">
        <x:v>处理</x:v>
      </x:c>
      <x:c r="D3" s="135" t="str">
        <x:v>旧状态</x:v>
      </x:c>
      <x:c r="E3" s="135" t="str">
        <x:v>现行结果</x:v>
      </x:c>
      <x:c r="F3" s="135" t="str">
        <x:v>日期</x:v>
      </x:c>
    </x:row>
    <x:row r="4" ht="48" customHeight="1">
      <x:c r="A4" s="143" t="str">
        <x:v>删除</x:v>
      </x:c>
      <x:c r="B4" s="143" t="str">
        <x:v>BX006／W025／SG045</x:v>
      </x:c>
      <x:c r="C4" s="143" t="str">
        <x:v>移出胶水池</x:v>
      </x:c>
      <x:c r="D4" s="143" t="str">
        <x:v>涉水旧候选</x:v>
      </x:c>
      <x:c r="E4" s="143" t="str">
        <x:v>设计师删除</x:v>
      </x:c>
      <x:c r="F4" s="143" t="str">
        <x:v>2026-08-13</x:v>
      </x:c>
      <x:c r="G4"/>
      <x:c r="H4"/>
      <x:c r="I4"/>
    </x:row>
    <x:row r="5" ht="48" customHeight="1">
      <x:c r="A5" s="144" t="str">
        <x:v>转系</x:v>
      </x:c>
      <x:c r="B5" s="144" t="str">
        <x:v>SG032</x:v>
      </x:c>
      <x:c r="C5" s="144" t="str">
        <x:v>移出胶水池</x:v>
      </x:c>
      <x:c r="D5" s="144" t="str">
        <x:v>暗·水</x:v>
      </x:c>
      <x:c r="E5" s="144" t="str">
        <x:v>改为纯暗系</x:v>
      </x:c>
      <x:c r="F5" s="144" t="str">
        <x:v>2026-08-13</x:v>
      </x:c>
      <x:c r="G5"/>
      <x:c r="H5"/>
      <x:c r="I5"/>
    </x:row>
    <x:row r="6" ht="48" customHeight="1">
      <x:c r="A6" s="144" t="str">
        <x:v>改牌</x:v>
      </x:c>
      <x:c r="B6" s="144" t="str">
        <x:v>SG014</x:v>
      </x:c>
      <x:c r="C6" s="144" t="str">
        <x:v>重做</x:v>
      </x:c>
      <x:c r="D6" s="144" t="str">
        <x:v>X费多段</x:v>
      </x:c>
      <x:c r="E6" s="144" t="str">
        <x:v>按能量焚毁，焚毁触发5伤</x:v>
      </x:c>
      <x:c r="F6" s="144" t="str">
        <x:v>2026-08-13</x:v>
      </x:c>
      <x:c r="G6"/>
      <x:c r="H6"/>
      <x:c r="I6"/>
    </x:row>
    <x:row r="7" ht="48" customHeight="1">
      <x:c r="A7" s="144" t="str">
        <x:v>改牌</x:v>
      </x:c>
      <x:c r="B7" s="144" t="str">
        <x:v>SG031</x:v>
      </x:c>
      <x:c r="C7" s="144" t="str">
        <x:v>加强</x:v>
      </x:c>
      <x:c r="D7" s="144" t="str">
        <x:v>2费消耗</x:v>
      </x:c>
      <x:c r="E7" s="144" t="str">
        <x:v>1费且不消耗</x:v>
      </x:c>
      <x:c r="F7" s="144" t="str">
        <x:v>2026-08-13</x:v>
      </x:c>
      <x:c r="G7"/>
      <x:c r="H7"/>
      <x:c r="I7"/>
    </x:row>
    <x:row r="8" ht="48" customHeight="1">
      <x:c r="A8" s="144" t="str">
        <x:v>改牌</x:v>
      </x:c>
      <x:c r="B8" s="144" t="str">
        <x:v>SG034</x:v>
      </x:c>
      <x:c r="C8" s="144" t="str">
        <x:v>重做</x:v>
      </x:c>
      <x:c r="D8" s="144" t="str">
        <x:v>顶4磨弃2抽1</x:v>
      </x:c>
      <x:c r="E8" s="144" t="str">
        <x:v>顶4；2张磨弃、2张入手</x:v>
      </x:c>
      <x:c r="F8" s="144" t="str">
        <x:v>2026-08-13</x:v>
      </x:c>
      <x:c r="G8"/>
      <x:c r="H8"/>
      <x:c r="I8"/>
    </x:row>
    <x:row r="9" ht="48" customHeight="1">
      <x:c r="A9" s="144" t="str">
        <x:v>改牌</x:v>
      </x:c>
      <x:c r="B9" s="144" t="str">
        <x:v>BX016</x:v>
      </x:c>
      <x:c r="C9" s="144" t="str">
        <x:v>加强</x:v>
      </x:c>
      <x:c r="D9" s="144" t="str">
        <x:v>2费金卡／临时减费</x:v>
      </x:c>
      <x:c r="E9" s="144" t="str">
        <x:v>1费蓝卡／永久减费</x:v>
      </x:c>
      <x:c r="F9" s="144" t="str">
        <x:v>2026-08-13</x:v>
      </x:c>
      <x:c r="G9"/>
      <x:c r="H9"/>
      <x:c r="I9"/>
    </x:row>
    <x:row r="10" ht="48" customHeight="1">
      <x:c r="A10" s="144" t="str">
        <x:v>改牌</x:v>
      </x:c>
      <x:c r="B10" s="144" t="str">
        <x:v>SG046</x:v>
      </x:c>
      <x:c r="C10" s="144" t="str">
        <x:v>加强</x:v>
      </x:c>
      <x:c r="D10" s="144" t="str">
        <x:v>8基础伤害</x:v>
      </x:c>
      <x:c r="E10" s="144" t="str">
        <x:v>13基础伤害</x:v>
      </x:c>
      <x:c r="F10" s="144" t="str">
        <x:v>2026-08-13</x:v>
      </x:c>
      <x:c r="G10"/>
      <x:c r="H10"/>
      <x:c r="I10"/>
    </x:row>
    <x:row r="11" ht="48" customHeight="1">
      <x:c r="A11" s="144" t="str">
        <x:v>改牌</x:v>
      </x:c>
      <x:c r="B11" s="144" t="str">
        <x:v>G019</x:v>
      </x:c>
      <x:c r="C11" s="144" t="str">
        <x:v>加强</x:v>
      </x:c>
      <x:c r="D11" s="144" t="str">
        <x:v>仅荆棘</x:v>
      </x:c>
      <x:c r="E11" s="144" t="str">
        <x:v>增加5点护盾</x:v>
      </x:c>
      <x:c r="F11" s="144" t="str">
        <x:v>2026-08-13</x:v>
      </x:c>
      <x:c r="G11"/>
      <x:c r="H11"/>
      <x:c r="I11"/>
    </x:row>
    <x:row r="12" ht="48" customHeight="1">
      <x:c r="A12" s="144" t="str">
        <x:v>新增</x:v>
      </x:c>
      <x:c r="B12" s="144" t="str">
        <x:v>BX022–BX026</x:v>
      </x:c>
      <x:c r="C12" s="144" t="str">
        <x:v>五张双系牌</x:v>
      </x:c>
      <x:c r="D12" s="144" t="str">
        <x:v>无</x:v>
      </x:c>
      <x:c r="E12" s="144" t="str">
        <x:v>同步所属属性主池</x:v>
      </x:c>
      <x:c r="F12" s="144" t="str">
        <x:v>2026-08-13</x:v>
      </x:c>
      <x:c r="G12"/>
      <x:c r="H12"/>
      <x:c r="I12"/>
    </x:row>
    <x:row r="13" ht="48" customHeight="1">
      <x:c r="A13" s="144" t="str">
        <x:v>同步</x:v>
      </x:c>
      <x:c r="B13" s="144" t="str">
        <x:v>全部涉水双系牌</x:v>
      </x:c>
      <x:c r="C13" s="144" t="str">
        <x:v>主池同步</x:v>
      </x:c>
      <x:c r="D13" s="144" t="str">
        <x:v>可能存在旧差异</x:v>
      </x:c>
      <x:c r="E13" s="144" t="str">
        <x:v>编号、属性、卡面一致</x:v>
      </x:c>
      <x:c r="F13" s="144" t="str">
        <x:v>2026-08-13</x:v>
      </x:c>
      <x:c r="G13"/>
      <x:c r="H13"/>
      <x:c r="I13"/>
    </x:row>
    <x:row r="14" ht="48" customHeight="1">
      <x:c r="A14" s="144" t="str">
        <x:v>规则</x:v>
      </x:c>
      <x:c r="B14" s="144" t="str">
        <x:v>顺流</x:v>
      </x:c>
      <x:c r="C14" s="144" t="str">
        <x:v>移除关键词</x:v>
      </x:c>
      <x:c r="D14" s="144" t="str">
        <x:v>旧体系标签</x:v>
      </x:c>
      <x:c r="E14" s="144" t="str">
        <x:v>全部改自然语言条件</x:v>
      </x:c>
      <x:c r="F14" s="144" t="str">
        <x:v>2026-08-13</x:v>
      </x:c>
      <x:c r="G14"/>
      <x:c r="H14"/>
      <x:c r="I14"/>
    </x:row>
    <x:row r="15" ht="48" customHeight="1">
      <x:c r="A15" s="144" t="str">
        <x:v>删除</x:v>
      </x:c>
      <x:c r="B15" s="144" t="str">
        <x:v>L024</x:v>
      </x:c>
      <x:c r="C15" s="144" t="str">
        <x:v>移出胶水池</x:v>
      </x:c>
      <x:c r="D15" s="144" t="str">
        <x:v>水·光旧牌</x:v>
      </x:c>
      <x:c r="E15" s="144" t="str">
        <x:v>与光系V12的L024恩典编号冲突</x:v>
      </x:c>
      <x:c r="F15" s="144" t="str">
        <x:v>2026-08-15</x:v>
      </x:c>
      <x:c r="G15"/>
      <x:c r="H15"/>
      <x:c r="I15"/>
    </x:row>
    <x:row r="16" ht="48" customHeight="1">
      <x:c r="A16" s="144" t="str">
        <x:v>升级</x:v>
      </x:c>
      <x:c r="B16" s="144" t="str">
        <x:v>全部涉水双系牌</x:v>
      </x:c>
      <x:c r="C16" s="144" t="str">
        <x:v>同步升级字段</x:v>
      </x:c>
      <x:c r="D16" s="144" t="str">
        <x:v>仅基础效果</x:v>
      </x:c>
      <x:c r="E16" s="144" t="str">
        <x:v>35张涉水牌升级审阅定稿</x:v>
      </x:c>
      <x:c r="F16" s="144" t="str">
        <x:v>2026-08-15</x:v>
      </x:c>
      <x:c r="G16"/>
      <x:c r="H16"/>
      <x:c r="I16"/>
    </x:row>
    <x:row r="17" ht="48" customHeight="1">
      <x:c r="A17" s="145" t="str">
        <x:v>术语</x:v>
      </x:c>
      <x:c r="B17" s="145" t="str">
        <x:v>BX020／SG057／SG058／SG060</x:v>
      </x:c>
      <x:c r="C17" s="145" t="str">
        <x:v>同步光系V12</x:v>
      </x:c>
      <x:c r="D17" s="145" t="str">
        <x:v>祷念／技能牌</x:v>
      </x:c>
      <x:c r="E17" s="145" t="str">
        <x:v>改为神启／法术牌</x:v>
      </x:c>
      <x:c r="F17" s="145" t="str">
        <x:v>2026-08-15</x:v>
      </x:c>
      <x:c r="G17"/>
      <x:c r="H17"/>
      <x:c r="I17"/>
    </x:row>
    <x:row r="18" ht="42" customHeight="1">
      <x:c r="A18"/>
      <x:c r="B18"/>
      <x:c r="C18"/>
      <x:c r="D18"/>
      <x:c r="E18"/>
      <x:c r="F18"/>
      <x:c r="G18"/>
      <x:c r="H18"/>
      <x:c r="I18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9c95494e0ab4e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50" hidden="0" customWidth="1"/>
    <x:col min="4" max="4" width="42" hidden="0" customWidth="1"/>
    <x:col min="5" max="5" width="42" hidden="0" customWidth="1"/>
    <x:col min="6" max="6" width="12" hidden="0" customWidth="1"/>
  </x:cols>
  <x:sheetData>
    <x:row r="1" ht="28" customHeight="1">
      <x:c r="A1" s="125" t="str">
        <x:v>双系胶水卡 V8｜规则与边界</x:v>
      </x:c>
      <x:c r="B1" s="125"/>
      <x:c r="C1" s="125"/>
      <x:c r="D1" s="125"/>
      <x:c r="E1" s="125"/>
      <x:c r="F1" s="125"/>
    </x:row>
    <x:row r="2" ht="36" customHeight="1">
      <x:c r="A2"/>
      <x:c r="B2"/>
      <x:c r="C2"/>
      <x:c r="D2"/>
      <x:c r="E2"/>
      <x:c r="F2"/>
    </x:row>
    <x:row r="3">
      <x:c r="A3" s="135" t="str">
        <x:v>规则</x:v>
      </x:c>
      <x:c r="B3" s="135" t="str">
        <x:v>定义</x:v>
      </x:c>
      <x:c r="C3" s="135" t="str">
        <x:v>同步要求</x:v>
      </x:c>
      <x:c r="D3" s="135" t="str">
        <x:v>禁止项</x:v>
      </x:c>
      <x:c r="E3" s="135" t="str">
        <x:v>程序处理</x:v>
      </x:c>
      <x:c r="F3" s="135" t="str">
        <x:v>状态</x:v>
      </x:c>
    </x:row>
    <x:row r="4" ht="52" customHeight="1">
      <x:c r="A4" s="143" t="str">
        <x:v>双系归属</x:v>
      </x:c>
      <x:c r="B4" s="143" t="str">
        <x:v>牌同时属于两个属性。</x:v>
      </x:c>
      <x:c r="C4" s="143" t="str">
        <x:v>在两个属性主池与胶水池同时保留。</x:v>
      </x:c>
      <x:c r="D4" s="143" t="str">
        <x:v>不得建立独立双系属性。</x:v>
      </x:c>
      <x:c r="E4" s="143" t="str">
        <x:v>按编号只注册一次。</x:v>
      </x:c>
      <x:c r="F4" s="143" t="str">
        <x:v>生效</x:v>
      </x:c>
    </x:row>
    <x:row r="5" ht="52" customHeight="1">
      <x:c r="A5" s="144" t="str">
        <x:v>卡面同步</x:v>
      </x:c>
      <x:c r="B5" s="144" t="str">
        <x:v>同编号必须同属性、同费用、同卡面效果。</x:v>
      </x:c>
      <x:c r="C5" s="144" t="str">
        <x:v>任何修改同步三处。</x:v>
      </x:c>
      <x:c r="D5" s="144" t="str">
        <x:v>不得复制出新编号。</x:v>
      </x:c>
      <x:c r="E5" s="144" t="str">
        <x:v>构建期校验。</x:v>
      </x:c>
      <x:c r="F5" s="144" t="str">
        <x:v>生效</x:v>
      </x:c>
    </x:row>
    <x:row r="6" ht="52" customHeight="1">
      <x:c r="A6" s="144" t="str">
        <x:v>虚弱</x:v>
      </x:c>
      <x:c r="B6" s="144" t="str">
        <x:v>固定降低25%攻击伤害，记录持续回合。</x:v>
      </x:c>
      <x:c r="C6" s="144" t="str">
        <x:v>卡面统一写“X回合虚弱”。</x:v>
      </x:c>
      <x:c r="D6" s="144" t="str">
        <x:v>不建立层数强度。</x:v>
      </x:c>
      <x:c r="E6" s="144" t="str">
        <x:v>持续时间叠加。</x:v>
      </x:c>
      <x:c r="F6" s="144" t="str">
        <x:v>生效</x:v>
      </x:c>
    </x:row>
    <x:row r="7" ht="52" customHeight="1">
      <x:c r="A7" s="144" t="str">
        <x:v>主动负面</x:v>
      </x:c>
      <x:c r="B7" s="144" t="str">
        <x:v>自施负面可作为高收益代价。</x:v>
      </x:c>
      <x:c r="C7" s="144" t="str">
        <x:v>净化能移除可移除负面。</x:v>
      </x:c>
      <x:c r="D7" s="144" t="str">
        <x:v>状态牌和诅咒牌不属于负面状态。</x:v>
      </x:c>
      <x:c r="E7" s="144" t="str">
        <x:v>状态枚举区分来源。</x:v>
      </x:c>
      <x:c r="F7" s="144" t="str">
        <x:v>生效</x:v>
      </x:c>
    </x:row>
    <x:row r="8" ht="52" customHeight="1">
      <x:c r="A8" s="144" t="str">
        <x:v>牌序条件</x:v>
      </x:c>
      <x:c r="B8" s="144" t="str">
        <x:v>直接描述上一张牌类型。</x:v>
      </x:c>
      <x:c r="C8" s="144" t="str">
        <x:v>涉水胶水卡不得再使用顺流关键词。</x:v>
      </x:c>
      <x:c r="D8" s="144" t="str">
        <x:v>不建立顺流计数资源。</x:v>
      </x:c>
      <x:c r="E8" s="144" t="str">
        <x:v>读取上一张已打出卡牌。</x:v>
      </x:c>
      <x:c r="F8" s="144" t="str">
        <x:v>生效</x:v>
      </x:c>
    </x:row>
    <x:row r="9" ht="52" customHeight="1">
      <x:c r="A9" s="144" t="str">
        <x:v>永久减费</x:v>
      </x:c>
      <x:c r="B9" s="144" t="str">
        <x:v>写明本场战斗费用-1。</x:v>
      </x:c>
      <x:c r="C9" s="144" t="str">
        <x:v>对实体牌保存修正。</x:v>
      </x:c>
      <x:c r="D9" s="144" t="str">
        <x:v>最低不低于0。</x:v>
      </x:c>
      <x:c r="E9" s="144" t="str">
        <x:v>战斗结束清空。</x:v>
      </x:c>
      <x:c r="F9" s="144" t="str">
        <x:v>生效</x:v>
      </x:c>
    </x:row>
    <x:row r="10" ht="52" customHeight="1">
      <x:c r="A10" s="145" t="str">
        <x:v>升级同步</x:v>
      </x:c>
      <x:c r="B10" s="145" t="str">
        <x:v>同编号必须具有相同升级后费用与升级效果。</x:v>
      </x:c>
      <x:c r="C10" s="145" t="str">
        <x:v>涉水升级同步水系主池与胶水池。</x:v>
      </x:c>
      <x:c r="D10" s="145" t="str">
        <x:v>不得只同步基础效果。</x:v>
      </x:c>
      <x:c r="E10" s="145" t="str">
        <x:v>构建期按编号校验升级字段。</x:v>
      </x:c>
      <x:c r="F10" s="145" t="str">
        <x:v>生效</x:v>
      </x:c>
    </x:row>
    <x:row r="11" ht="49.5" customHeight="1">
      <x:c r="A11"/>
      <x:c r="B11"/>
      <x:c r="C11"/>
      <x:c r="D11"/>
      <x:c r="E11"/>
      <x:c r="F11"/>
    </x:row>
    <x:row r="12" ht="49.5" customHeight="1">
      <x:c r="A12"/>
      <x:c r="B12"/>
      <x:c r="C12"/>
      <x:c r="D12"/>
      <x:c r="E12"/>
      <x:c r="F12"/>
    </x:row>
    <x:row r="13" ht="49.5" customHeight="1">
      <x:c r="A13"/>
      <x:c r="B13"/>
      <x:c r="C13"/>
      <x:c r="D13"/>
      <x:c r="E13"/>
      <x:c r="F13"/>
    </x:row>
    <x:row r="14" ht="49.5" customHeight="1">
      <x:c r="A14"/>
      <x:c r="B14"/>
      <x:c r="C14"/>
      <x:c r="D14"/>
      <x:c r="E14"/>
      <x:c r="F14"/>
    </x:row>
    <x:row r="15" ht="49.5" customHeight="1">
      <x:c r="A15"/>
      <x:c r="B15"/>
      <x:c r="C15"/>
      <x:c r="D15"/>
      <x:c r="E15"/>
      <x:c r="F15"/>
    </x:row>
    <x:row r="16" ht="49.5" customHeight="1">
      <x:c r="A16"/>
      <x:c r="B16"/>
      <x:c r="C16"/>
      <x:c r="D16"/>
      <x:c r="E16"/>
      <x:c r="F16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5bf6da46be44a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14" hidden="0" customWidth="1"/>
    <x:col min="5" max="5" width="60" hidden="0" customWidth="1"/>
  </x:cols>
  <x:sheetData>
    <x:row r="1" ht="28" customHeight="1">
      <x:c r="A1" s="125" t="str">
        <x:v>来源与版本 V8</x:v>
      </x:c>
      <x:c r="B1" s="125"/>
      <x:c r="C1" s="125"/>
      <x:c r="D1" s="125"/>
      <x:c r="E1" s="125"/>
    </x:row>
    <x:row r="2" ht="36" customHeight="1">
      <x:c r="A2"/>
      <x:c r="B2"/>
      <x:c r="C2"/>
      <x:c r="D2"/>
      <x:c r="E2"/>
    </x:row>
    <x:row r="3">
      <x:c r="A3" s="135" t="str">
        <x:v>项目</x:v>
      </x:c>
      <x:c r="B3" s="135" t="str">
        <x:v>版本／日期</x:v>
      </x:c>
      <x:c r="C3" s="135" t="str">
        <x:v>用途</x:v>
      </x:c>
      <x:c r="D3" s="135" t="str">
        <x:v>状态</x:v>
      </x:c>
      <x:c r="E3" s="135" t="str">
        <x:v>说明</x:v>
      </x:c>
    </x:row>
    <x:row r="4" ht="48" customHeight="1">
      <x:c r="A4" s="143" t="str">
        <x:v>Winterfort双系胶水卡</x:v>
      </x:c>
      <x:c r="B4" s="143" t="str">
        <x:v>V8 / 2026-08-15</x:v>
      </x:c>
      <x:c r="C4" s="143" t="str">
        <x:v>当前执行池</x:v>
      </x:c>
      <x:c r="D4" s="143" t="str">
        <x:v>生效</x:v>
      </x:c>
      <x:c r="E4" s="143" t="str">
        <x:v>81张；35张涉水牌完成升级</x:v>
      </x:c>
    </x:row>
    <x:row r="5" ht="48" customHeight="1">
      <x:c r="A5" s="144" t="str">
        <x:v>水系主池</x:v>
      </x:c>
      <x:c r="B5" s="144" t="str">
        <x:v>V8</x:v>
      </x:c>
      <x:c r="C5" s="144" t="str">
        <x:v>双系基础与升级同步</x:v>
      </x:c>
      <x:c r="D5" s="144" t="str">
        <x:v>生效</x:v>
      </x:c>
      <x:c r="E5" s="144" t="str">
        <x:v>35张涉水双系牌同步</x:v>
      </x:c>
    </x:row>
    <x:row r="6" ht="48" customHeight="1">
      <x:c r="A6" s="144" t="str">
        <x:v>火系主池</x:v>
      </x:c>
      <x:c r="B6" s="144" t="str">
        <x:v>V8</x:v>
      </x:c>
      <x:c r="C6" s="144" t="str">
        <x:v>双系基础同步</x:v>
      </x:c>
      <x:c r="D6" s="144" t="str">
        <x:v>生效</x:v>
      </x:c>
      <x:c r="E6" s="144" t="str">
        <x:v>升级待火系阶段统一回填</x:v>
      </x:c>
    </x:row>
    <x:row r="7" ht="48" customHeight="1">
      <x:c r="A7" s="144" t="str">
        <x:v>草系主池</x:v>
      </x:c>
      <x:c r="B7" s="144" t="str">
        <x:v>V9</x:v>
      </x:c>
      <x:c r="C7" s="144" t="str">
        <x:v>双系基础同步</x:v>
      </x:c>
      <x:c r="D7" s="144" t="str">
        <x:v>生效</x:v>
      </x:c>
      <x:c r="E7" s="144" t="str">
        <x:v>升级待草系阶段统一回填</x:v>
      </x:c>
    </x:row>
    <x:row r="8" ht="48" customHeight="1">
      <x:c r="A8" s="144" t="str">
        <x:v>光系主池</x:v>
      </x:c>
      <x:c r="B8" s="144" t="str">
        <x:v>V12</x:v>
      </x:c>
      <x:c r="C8" s="144" t="str">
        <x:v>术语与编号同步</x:v>
      </x:c>
      <x:c r="D8" s="144" t="str">
        <x:v>生效</x:v>
      </x:c>
      <x:c r="E8" s="144" t="str">
        <x:v>神启、法术牌；旧L024删除</x:v>
      </x:c>
    </x:row>
    <x:row r="9" ht="48" customHeight="1">
      <x:c r="A9" s="145" t="str">
        <x:v>暗系主池</x:v>
      </x:c>
      <x:c r="B9" s="145" t="str">
        <x:v>V9</x:v>
      </x:c>
      <x:c r="C9" s="145" t="str">
        <x:v>双系基础同步</x:v>
      </x:c>
      <x:c r="D9" s="145" t="str">
        <x:v>生效</x:v>
      </x:c>
      <x:c r="E9" s="145" t="str">
        <x:v>升级待暗系阶段统一回填</x:v>
      </x:c>
    </x:row>
    <x:row r="10" ht="43.5" customHeight="1">
      <x:c r="A10"/>
      <x:c r="B10"/>
      <x:c r="C10"/>
      <x:c r="D10"/>
      <x:c r="E10"/>
    </x:row>
    <x:row r="11" ht="43.5" customHeight="1">
      <x:c r="A11"/>
      <x:c r="B11"/>
      <x:c r="C11"/>
      <x:c r="D11"/>
      <x:c r="E11"/>
    </x:row>
    <x:row r="12" ht="43.5" customHeight="1">
      <x:c r="A12"/>
      <x:c r="B12"/>
      <x:c r="C12"/>
      <x:c r="D12"/>
      <x:c r="E12"/>
    </x:row>
    <x:row r="13" ht="43.5" customHeight="1">
      <x:c r="A13"/>
      <x:c r="B13"/>
      <x:c r="C13"/>
      <x:c r="D13"/>
      <x:c r="E13"/>
    </x:row>
    <x:row r="14" ht="43.5" customHeight="1">
      <x:c r="A14"/>
      <x:c r="B14"/>
      <x:c r="C14"/>
      <x:c r="D14"/>
      <x:c r="E14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d23796e897346fb"/>
  </x:tableParts>
</x:worksheet>
</file>