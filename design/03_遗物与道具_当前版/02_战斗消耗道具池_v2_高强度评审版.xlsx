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2.xml" ContentType="application/vnd.openxmlformats-officedocument.spreadsheetml.table+xml"/>
  <Override PartName="/xl/worksheets/sheet7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57fbbe3a7544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消耗道具池" sheetId="1" r:id="Rb8e92684204f423f"/>
    <x:sheet xmlns:r="http://schemas.openxmlformats.org/officeDocument/2006/relationships" name="总览" sheetId="2" r:id="R9276e558c3e24c30"/>
    <x:sheet xmlns:r="http://schemas.openxmlformats.org/officeDocument/2006/relationships" name="尖塔药水标尺" sheetId="3" r:id="Re51ac23300724b1c"/>
    <x:sheet xmlns:r="http://schemas.openxmlformats.org/officeDocument/2006/relationships" name="系统规则" sheetId="4" r:id="R57dbd990bf864d98"/>
    <x:sheet xmlns:r="http://schemas.openxmlformats.org/officeDocument/2006/relationships" name="结算与事件" sheetId="5" r:id="R07d422ee9075452d"/>
    <x:sheet xmlns:r="http://schemas.openxmlformats.org/officeDocument/2006/relationships" name="原创性审计" sheetId="6" r:id="R75ea009bd4ab4d0b"/>
    <x:sheet xmlns:r="http://schemas.openxmlformats.org/officeDocument/2006/relationships" name="首轮试玩包" sheetId="7" r:id="Rebfcd3cd5c144169"/>
  </x:sheets>
</x:workbook>
</file>

<file path=xl/comments1.xml><?xml version="1.0" encoding="utf-8"?>
<x:comments xmlns:x="http://schemas.openxmlformats.org/spreadsheetml/2006/main">
  <x:authors>
    <x:author>tc={29CBFBC1-6719-4CF5-54D4-52C22BFEC95B}</x:author>
  </x:authors>
  <x:commentList>
    <x:comment ref="H2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道具卡面写即时结算事实；复杂的事件字段、状态白名单与Boss边界放在备注和《结算与事件》中。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5">
    <x:font>
      <x:sz val="11"/>
      <x:name val="Carlito"/>
    </x:font>
    <x:font>
      <x:b/>
      <x:sz val="11"/>
      <x:color rgb="FFFFFFFF"/>
      <x:name val="Carlito"/>
    </x:font>
    <x:font>
      <x:sz val="10"/>
      <x:color rgb="FF243342"/>
      <x:name val="Carlito"/>
    </x:font>
    <x:font>
      <x:b/>
      <x:sz val="18"/>
      <x:color rgb="FFFFFFFF"/>
      <x:name val="Carlito"/>
    </x:font>
    <x:font>
      <x:b/>
      <x:sz val="10"/>
      <x:color rgb="FF243342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83B56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2E75B6"/>
      </x:patternFill>
    </x:fill>
    <x:fill>
      <x:patternFill patternType="solid">
        <x:fgColor rgb="FFE7E6E6"/>
      </x:patternFill>
    </x:fill>
    <x:fill>
      <x:patternFill patternType="solid">
        <x:fgColor rgb="FFF3F8FC"/>
      </x:patternFill>
    </x:fill>
  </x:fills>
  <x:borders count="4">
    <x:border/>
    <x:border>
      <x:bottom style="thin">
        <x:color rgb="FFC9D6E2"/>
      </x:bottom>
    </x:border>
    <x:border>
      <x:top style="thin">
        <x:color rgb="FFC9D6E2"/>
      </x:top>
      <x:bottom style="thin">
        <x:color rgb="FFC9D6E2"/>
      </x:bottom>
    </x:border>
    <x:border>
      <x:top style="thin">
        <x:color rgb="FFC9D6E2"/>
      </x:top>
      <x:bottom style="double">
        <x:color rgb="FF183B56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2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2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0" borderId="2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2" fillId="4" borderId="2" xfId="0" applyNumberFormat="1" applyFont="1" applyFill="1" applyBorder="1" applyAlignment="1">
      <x:alignment vertical="top" wrapText="1"/>
    </x:xf>
    <x:xf numFmtId="0" fontId="2" fillId="3" borderId="2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2" fillId="0" borderId="0" xfId="0" applyNumberFormat="1" applyFont="1" applyFill="1" applyBorder="1"/>
    <x:xf numFmtId="200" fontId="2" fillId="0" borderId="1" xfId="0" applyNumberFormat="1" applyFont="1" applyFill="1" applyBorder="1"/>
    <x:xf numFmtId="200" fontId="2" fillId="0" borderId="2" xfId="0" applyNumberFormat="1" applyFont="1" applyFill="1" applyBorder="1"/>
    <x:xf numFmtId="200" fontId="2" fillId="0" borderId="1" xfId="0" applyNumberFormat="1" applyFont="1" applyFill="1" applyBorder="1" applyAlignment="1">
      <x:alignment wrapText="1"/>
    </x:xf>
    <x:xf numFmtId="200" fontId="2" fillId="0" borderId="2" xfId="0" applyNumberFormat="1" applyFont="1" applyFill="1" applyBorder="1" applyAlignment="1">
      <x:alignment wrapText="1"/>
    </x:xf>
    <x:xf numFmtId="200" fontId="2" fillId="0" borderId="1" xfId="0" applyNumberFormat="1" applyFont="1" applyFill="1" applyBorder="1" applyAlignment="1">
      <x:alignment vertical="top" wrapText="1"/>
    </x:xf>
    <x:xf numFmtId="200" fontId="2" fillId="0" borderId="2" xfId="0" applyNumberFormat="1" applyFont="1" applyFill="1" applyBorder="1" applyAlignment="1">
      <x:alignment vertical="top" wrapText="1"/>
    </x:xf>
    <x:xf numFmtId="0" fontId="2" fillId="6" borderId="2" xfId="0" applyNumberFormat="1" applyFont="1" applyFill="1" applyBorder="1" applyAlignment="1">
      <x:alignment vertical="top" wrapText="1"/>
    </x:xf>
    <x:xf numFmtId="200" fontId="2" fillId="6" borderId="2" xfId="0" applyNumberFormat="1" applyFont="1" applyFill="1" applyBorder="1" applyAlignment="1">
      <x:alignment vertical="top" wrapText="1"/>
    </x:xf>
    <x:xf numFmtId="0" fontId="4" fillId="6" borderId="2" xfId="0" applyNumberFormat="1" applyFont="1" applyFill="1" applyBorder="1" applyAlignment="1">
      <x:alignment vertical="top" wrapText="1"/>
    </x:xf>
    <x:xf numFmtId="200" fontId="4" fillId="6" borderId="2" xfId="0" applyNumberFormat="1" applyFont="1" applyFill="1" applyBorder="1" applyAlignment="1">
      <x:alignment vertical="top" wrapText="1"/>
    </x:xf>
    <x:xf numFmtId="0" fontId="4" fillId="6" borderId="3" xfId="0" applyNumberFormat="1" applyFont="1" applyFill="1" applyBorder="1" applyAlignment="1">
      <x:alignment vertical="top" wrapText="1"/>
    </x:xf>
    <x:xf numFmtId="200" fontId="4" fillId="6" borderId="3" xfId="0" applyNumberFormat="1" applyFont="1" applyFill="1" applyBorder="1" applyAlignment="1">
      <x:alignment vertical="top" wrapText="1"/>
    </x:xf>
    <x:xf numFmtId="0" fontId="2" fillId="7" borderId="1" xfId="0" applyNumberFormat="1" applyFont="1" applyFill="1" applyBorder="1" applyAlignment="1">
      <x:alignment vertical="top" wrapText="1"/>
    </x:xf>
    <x:xf numFmtId="0" fontId="2" fillId="7" borderId="2" xfId="0" applyNumberFormat="1" applyFont="1" applyFill="1" applyBorder="1" applyAlignment="1">
      <x:alignment vertical="top" wrapText="1"/>
    </x:xf>
  </x:cellXfs>
  <x:cellStyles count="1">
    <x:cellStyle name="Normal" xfId="0"/>
  </x:cellStyles>
  <x:dxfs count="6">
    <x:dxf>
      <x:font>
        <x:color rgb="FF375623"/>
      </x:font>
      <x:fill>
        <x:patternFill>
          <x:bgColor rgb="FFE2F0D9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ill>
        <x:patternFill>
          <x:bgColor rgb="FFFFF2CC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e51811c01d4882" /><Relationship Type="http://schemas.openxmlformats.org/officeDocument/2006/relationships/theme" Target="/xl/theme/theme1.xml" Id="R4f5121169296464c" /><Relationship Type="http://schemas.openxmlformats.org/officeDocument/2006/relationships/sharedStrings" Target="/xl/sharedStrings.xml" Id="Raa0f1ce2e34746ca" /><Relationship Type="http://schemas.openxmlformats.org/officeDocument/2006/relationships/worksheet" Target="/xl/worksheets/sheet1.xml" Id="Rb8e92684204f423f" /><Relationship Type="http://schemas.openxmlformats.org/officeDocument/2006/relationships/worksheet" Target="/xl/worksheets/sheet2.xml" Id="R9276e558c3e24c30" /><Relationship Type="http://schemas.openxmlformats.org/officeDocument/2006/relationships/worksheet" Target="/xl/worksheets/sheet3.xml" Id="Re51ac23300724b1c" /><Relationship Type="http://schemas.openxmlformats.org/officeDocument/2006/relationships/worksheet" Target="/xl/worksheets/sheet4.xml" Id="R57dbd990bf864d98" /><Relationship Type="http://schemas.openxmlformats.org/officeDocument/2006/relationships/worksheet" Target="/xl/worksheets/sheet5.xml" Id="R07d422ee9075452d" /><Relationship Type="http://schemas.openxmlformats.org/officeDocument/2006/relationships/worksheet" Target="/xl/worksheets/sheet6.xml" Id="R75ea009bd4ab4d0b" /><Relationship Type="http://schemas.openxmlformats.org/officeDocument/2006/relationships/worksheet" Target="/xl/worksheets/sheet7.xml" Id="Rebfcd3cd5c144169" /><Relationship Type="http://schemas.microsoft.com/office/2017/10/relationships/person" Target="/xl/persons/person.xml" Id="Re5386074103e4bce" /></Relationships>
</file>

<file path=xl/persons/person.xml><?xml version="1.0" encoding="utf-8"?>
<xltc:personList xmlns:xltc="http://schemas.microsoft.com/office/spreadsheetml/2018/threadedcomments">
  <xltc:person displayName="User" id="{86157CAD-2058-4D77-BD44-5944F227AD9D}"/>
</xltc:personList>
</file>

<file path=xl/tables/table1.xml><?xml version="1.0" encoding="utf-8"?>
<x:table xmlns:x="http://schemas.openxmlformats.org/spreadsheetml/2006/main" id="1" name="ConsumableItemPool" displayName="ConsumableItemPool" ref="A1:M25" headerRowCount="1" totalsRowCount="0" totalsRowShown="0">
  <x:tableColumns count="13">
    <x:tableColumn id="1" name="ID"/>
    <x:tableColumn id="2" name="名称"/>
    <x:tableColumn id="3" name="形态"/>
    <x:tableColumn id="4" name="稀有度"/>
    <x:tableColumn id="5" name="获取来源"/>
    <x:tableColumn id="6" name="使用时机"/>
    <x:tableColumn id="7" name="目标"/>
    <x:tableColumn id="8" name="效果文案"/>
    <x:tableColumn id="9" name="战术职能"/>
    <x:tableColumn id="10" name="强度预算"/>
    <x:tableColumn id="11" name="开发阶段"/>
    <x:tableColumn id="12" name="同构风险"/>
    <x:tableColumn id="13" name="风险 / 规则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nsumableOriginalityAudit" displayName="ConsumableOriginalityAudit" ref="A1:I25" headerRowCount="1" totalsRowCount="0" totalsRowShown="0">
  <x:tableColumns count="9">
    <x:tableColumn id="1" name="ID"/>
    <x:tableColumn id="2" name="名称"/>
    <x:tableColumn id="3" name="形态"/>
    <x:tableColumn id="4" name="稀有度"/>
    <x:tableColumn id="5" name="参考母题"/>
    <x:tableColumn id="6" name="同构风险"/>
    <x:tableColumn id="7" name="关键差异"/>
    <x:tableColumn id="8" name="开发阶段"/>
    <x:tableColumn id="9" name="裁定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H2" dT="2026-08-11T10:48:07.751" personId="{86157CAD-2058-4D77-BD44-5944F227AD9D}" id="{29CBFBC1-6719-4CF5-54D4-52C22BFEC95B}">
    <xltc:text>道具卡面写即时结算事实；复杂的事件字段、状态白名单与Boss边界放在备注和《结算与事件》中。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866dd8a0faeb4115" /><Relationship Type="http://schemas.openxmlformats.org/officeDocument/2006/relationships/vmlDrawing" Target="/xl/drawings/vmldrawing.vml" Id="Rf5df4a70fe0f4063" /><Relationship Type="http://schemas.microsoft.com/office/2017/10/relationships/threadedComment" Target="/xl/threadedcomments/threadedcomment.xml" Id="Rb2b653aa09ca461e" /><Relationship Type="http://schemas.openxmlformats.org/officeDocument/2006/relationships/table" Target="/xl/tables/table1.xml" Id="Re75414b9b6e64b9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2.xml" Id="Re2f9a7791e93483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4" hidden="0" customWidth="1"/>
    <x:col min="3" max="3" width="12" hidden="0" customWidth="1"/>
    <x:col min="4" max="4" width="10" hidden="0" customWidth="1"/>
    <x:col min="5" max="5" width="20" hidden="0" customWidth="1"/>
    <x:col min="6" max="6" width="20" hidden="0" customWidth="1"/>
    <x:col min="7" max="7" width="16" hidden="0" customWidth="1"/>
    <x:col min="8" max="8" width="62" hidden="0" customWidth="1"/>
    <x:col min="9" max="9" width="18" hidden="0" customWidth="1"/>
    <x:col min="10" max="10" width="18" hidden="0" customWidth="1"/>
    <x:col min="11" max="11" width="10" hidden="0" customWidth="1"/>
    <x:col min="12" max="12" width="10" hidden="0" customWidth="1"/>
    <x:col min="13" max="13" width="52" hidden="0" customWidth="1"/>
  </x:cols>
  <x:sheetData>
    <x:row r="1" ht="34" customHeight="1">
      <x:c r="A1" s="4" t="str">
        <x:v>ID</x:v>
      </x:c>
      <x:c r="B1" s="4" t="str">
        <x:v>名称</x:v>
      </x:c>
      <x:c r="C1" s="4" t="str">
        <x:v>形态</x:v>
      </x:c>
      <x:c r="D1" s="4" t="str">
        <x:v>稀有度</x:v>
      </x:c>
      <x:c r="E1" s="4" t="str">
        <x:v>获取来源</x:v>
      </x:c>
      <x:c r="F1" s="4" t="str">
        <x:v>使用时机</x:v>
      </x:c>
      <x:c r="G1" s="4" t="str">
        <x:v>目标</x:v>
      </x:c>
      <x:c r="H1" s="4" t="str">
        <x:v>效果文案</x:v>
      </x:c>
      <x:c r="I1" s="4" t="str">
        <x:v>战术职能</x:v>
      </x:c>
      <x:c r="J1" s="4" t="str">
        <x:v>强度预算</x:v>
      </x:c>
      <x:c r="K1" s="4" t="str">
        <x:v>开发阶段</x:v>
      </x:c>
      <x:c r="L1" s="4" t="str">
        <x:v>同构风险</x:v>
      </x:c>
      <x:c r="M1" s="4" t="str">
        <x:v>风险 / 规则备注</x:v>
      </x:c>
    </x:row>
    <x:row r="2" ht="62" customHeight="1">
      <x:c r="A2" s="12" t="str">
        <x:v>T001</x:v>
      </x:c>
      <x:c r="B2" s="12" t="str">
        <x:v>赤芯爆弹</x:v>
      </x:c>
      <x:c r="C2" s="12" t="str">
        <x:v>投掷物</x:v>
      </x:c>
      <x:c r="D2" s="12" t="str">
        <x:v>常见</x:v>
      </x:c>
      <x:c r="E2" s="12" t="str">
        <x:v>战斗奖励/商店</x:v>
      </x:c>
      <x:c r="F2" s="12" t="str">
        <x:v>玩家回合</x:v>
      </x:c>
      <x:c r="G2" s="12" t="str">
        <x:v>单个敌人</x:v>
      </x:c>
      <x:c r="H2" s="12" t="str">
        <x:v>造成20点伤害。若目标拥有负面状态，改为造成25点伤害。</x:v>
      </x:c>
      <x:c r="I2" s="12" t="str">
        <x:v>单体斩杀</x:v>
      </x:c>
      <x:c r="J2" s="12" t="str">
        <x:v>20–25直伤</x:v>
      </x:c>
      <x:c r="K2" s="12" t="str">
        <x:v>MVP</x:v>
      </x:c>
      <x:c r="L2" s="12" t="str">
        <x:v>低</x:v>
      </x:c>
      <x:c r="M2" s="12" t="str">
        <x:v>对齐尖塔火焰药水20伤害，并用负面状态提供本项目的小额上浮。</x:v>
      </x:c>
    </x:row>
    <x:row r="3" ht="62" customHeight="1">
      <x:c r="A3" s="13" t="str">
        <x:v>T002</x:v>
      </x:c>
      <x:c r="B3" s="13" t="str">
        <x:v>霜壳药膏</x:v>
      </x:c>
      <x:c r="C3" s="13" t="str">
        <x:v>药剂</x:v>
      </x:c>
      <x:c r="D3" s="13" t="str">
        <x:v>常见</x:v>
      </x:c>
      <x:c r="E3" s="13" t="str">
        <x:v>战斗奖励/商店</x:v>
      </x:c>
      <x:c r="F3" s="13" t="str">
        <x:v>玩家回合</x:v>
      </x:c>
      <x:c r="G3" s="13" t="str">
        <x:v>自己</x:v>
      </x:c>
      <x:c r="H3" s="13" t="str">
        <x:v>获得12点护盾。若使用前没有护盾，改为获得16点护盾。</x:v>
      </x:c>
      <x:c r="I3" s="13" t="str">
        <x:v>即时防守</x:v>
      </x:c>
      <x:c r="J3" s="13" t="str">
        <x:v>12–16护盾</x:v>
      </x:c>
      <x:c r="K3" s="13" t="str">
        <x:v>MVP</x:v>
      </x:c>
      <x:c r="L3" s="13" t="str">
        <x:v>低</x:v>
      </x:c>
      <x:c r="M3" s="13" t="str">
        <x:v>尖塔格挡药水为12护盾；空盾奖励让它在意图回合更有辨识度。</x:v>
      </x:c>
    </x:row>
    <x:row r="4" ht="62" customHeight="1">
      <x:c r="A4" s="14" t="str">
        <x:v>T003</x:v>
      </x:c>
      <x:c r="B4" s="14" t="str">
        <x:v>疾风灵露</x:v>
      </x:c>
      <x:c r="C4" s="14" t="str">
        <x:v>药剂</x:v>
      </x:c>
      <x:c r="D4" s="14" t="str">
        <x:v>常见</x:v>
      </x:c>
      <x:c r="E4" s="14" t="str">
        <x:v>战斗奖励/商店</x:v>
      </x:c>
      <x:c r="F4" s="14" t="str">
        <x:v>玩家回合</x:v>
      </x:c>
      <x:c r="G4" s="14" t="str">
        <x:v>自己</x:v>
      </x:c>
      <x:c r="H4" s="14" t="str">
        <x:v>抽3张牌。</x:v>
      </x:c>
      <x:c r="I4" s="14" t="str">
        <x:v>即时过牌</x:v>
      </x:c>
      <x:c r="J4" s="14" t="str">
        <x:v>3抽牌</x:v>
      </x:c>
      <x:c r="K4" s="14" t="str">
        <x:v>MVP</x:v>
      </x:c>
      <x:c r="L4" s="14" t="str">
        <x:v>低</x:v>
      </x:c>
      <x:c r="M4" s="14" t="str">
        <x:v>直接对齐尖塔迅捷药水；满手牌时按手牌上限处理。</x:v>
      </x:c>
    </x:row>
    <x:row r="5" ht="62" customHeight="1">
      <x:c r="A5" s="13" t="str">
        <x:v>T004</x:v>
      </x:c>
      <x:c r="B5" s="13" t="str">
        <x:v>过载针</x:v>
      </x:c>
      <x:c r="C5" s="13" t="str">
        <x:v>药剂</x:v>
      </x:c>
      <x:c r="D5" s="13" t="str">
        <x:v>常见</x:v>
      </x:c>
      <x:c r="E5" s="13" t="str">
        <x:v>战斗奖励/商店</x:v>
      </x:c>
      <x:c r="F5" s="13" t="str">
        <x:v>玩家回合</x:v>
      </x:c>
      <x:c r="G5" s="13" t="str">
        <x:v>自己</x:v>
      </x:c>
      <x:c r="H5" s="13" t="str">
        <x:v>获得2点能量。</x:v>
      </x:c>
      <x:c r="I5" s="13" t="str">
        <x:v>即时能量</x:v>
      </x:c>
      <x:c r="J5" s="13" t="str">
        <x:v>2能量</x:v>
      </x:c>
      <x:c r="K5" s="13" t="str">
        <x:v>MVP</x:v>
      </x:c>
      <x:c r="L5" s="13" t="str">
        <x:v>低</x:v>
      </x:c>
      <x:c r="M5" s="13" t="str">
        <x:v>直接对齐尖塔能量药水；不附加延迟代价。</x:v>
      </x:c>
    </x:row>
    <x:row r="6" ht="62" customHeight="1">
      <x:c r="A6" s="14" t="str">
        <x:v>T005</x:v>
      </x:c>
      <x:c r="B6" s="14" t="str">
        <x:v>回温血清</x:v>
      </x:c>
      <x:c r="C6" s="14" t="str">
        <x:v>药剂</x:v>
      </x:c>
      <x:c r="D6" s="14" t="str">
        <x:v>常见</x:v>
      </x:c>
      <x:c r="E6" s="14" t="str">
        <x:v>战斗奖励/商店</x:v>
      </x:c>
      <x:c r="F6" s="14" t="str">
        <x:v>任意非结算时机</x:v>
      </x:c>
      <x:c r="G6" s="14" t="str">
        <x:v>自己</x:v>
      </x:c>
      <x:c r="H6" s="14" t="str">
        <x:v>回复最大生命的20%。</x:v>
      </x:c>
      <x:c r="I6" s="14" t="str">
        <x:v>即时续航</x:v>
      </x:c>
      <x:c r="J6" s="14" t="str">
        <x:v>20%最大生命回复</x:v>
      </x:c>
      <x:c r="K6" s="14" t="str">
        <x:v>MVP</x:v>
      </x:c>
      <x:c r="L6" s="14" t="str">
        <x:v>低</x:v>
      </x:c>
      <x:c r="M6" s="14" t="str">
        <x:v>可在战斗外使用；回复结果向下取整，至少回复1点。</x:v>
      </x:c>
    </x:row>
    <x:row r="7" ht="62" customHeight="1">
      <x:c r="A7" s="13" t="str">
        <x:v>T006</x:v>
      </x:c>
      <x:c r="B7" s="13" t="str">
        <x:v>震荡粉</x:v>
      </x:c>
      <x:c r="C7" s="13" t="str">
        <x:v>投掷物</x:v>
      </x:c>
      <x:c r="D7" s="13" t="str">
        <x:v>常见</x:v>
      </x:c>
      <x:c r="E7" s="13" t="str">
        <x:v>战斗奖励/商店</x:v>
      </x:c>
      <x:c r="F7" s="13" t="str">
        <x:v>玩家回合</x:v>
      </x:c>
      <x:c r="G7" s="13" t="str">
        <x:v>单个敌人</x:v>
      </x:c>
      <x:c r="H7" s="13" t="str">
        <x:v>对目标施加3回合虚弱。</x:v>
      </x:c>
      <x:c r="I7" s="13" t="str">
        <x:v>降低输出</x:v>
      </x:c>
      <x:c r="J7" s="13" t="str">
        <x:v>3回合虚弱</x:v>
      </x:c>
      <x:c r="K7" s="13" t="str">
        <x:v>MVP</x:v>
      </x:c>
      <x:c r="L7" s="13" t="str">
        <x:v>低</x:v>
      </x:c>
      <x:c r="M7" s="13" t="str">
        <x:v>对齐尖塔虚弱药水的3层持续时间；不影响非攻击意图。</x:v>
      </x:c>
    </x:row>
    <x:row r="8" ht="62" customHeight="1">
      <x:c r="A8" s="14" t="str">
        <x:v>T007</x:v>
      </x:c>
      <x:c r="B8" s="14" t="str">
        <x:v>爆裂雷管</x:v>
      </x:c>
      <x:c r="C8" s="14" t="str">
        <x:v>投掷物</x:v>
      </x:c>
      <x:c r="D8" s="14" t="str">
        <x:v>常见</x:v>
      </x:c>
      <x:c r="E8" s="14" t="str">
        <x:v>战斗奖励/商店</x:v>
      </x:c>
      <x:c r="F8" s="14" t="str">
        <x:v>玩家回合</x:v>
      </x:c>
      <x:c r="G8" s="14" t="str">
        <x:v>敌方全体</x:v>
      </x:c>
      <x:c r="H8" s="14" t="str">
        <x:v>对敌方全体造成10点伤害。</x:v>
      </x:c>
      <x:c r="I8" s="14" t="str">
        <x:v>群体清场</x:v>
      </x:c>
      <x:c r="J8" s="14" t="str">
        <x:v>10群伤</x:v>
      </x:c>
      <x:c r="K8" s="14" t="str">
        <x:v>MVP</x:v>
      </x:c>
      <x:c r="L8" s="14" t="str">
        <x:v>低</x:v>
      </x:c>
      <x:c r="M8" s="14" t="str">
        <x:v>直接对齐尖塔爆炸药水；道具伤害不受力量加成。</x:v>
      </x:c>
    </x:row>
    <x:row r="9" ht="62" customHeight="1">
      <x:c r="A9" s="13" t="str">
        <x:v>T008</x:v>
      </x:c>
      <x:c r="B9" s="13" t="str">
        <x:v>锻造油</x:v>
      </x:c>
      <x:c r="C9" s="13" t="str">
        <x:v>药剂</x:v>
      </x:c>
      <x:c r="D9" s="13" t="str">
        <x:v>常见</x:v>
      </x:c>
      <x:c r="E9" s="13" t="str">
        <x:v>战斗奖励/商店</x:v>
      </x:c>
      <x:c r="F9" s="13" t="str">
        <x:v>玩家回合</x:v>
      </x:c>
      <x:c r="G9" s="13" t="str">
        <x:v>全部手牌</x:v>
      </x:c>
      <x:c r="H9" s="13" t="str">
        <x:v>本场战斗中升级手牌中的所有可升级牌。</x:v>
      </x:c>
      <x:c r="I9" s="13" t="str">
        <x:v>手牌爆发</x:v>
      </x:c>
      <x:c r="J9" s="13" t="str">
        <x:v>全手升级/场</x:v>
      </x:c>
      <x:c r="K9" s="13" t="str">
        <x:v>MVP</x:v>
      </x:c>
      <x:c r="L9" s="13" t="str">
        <x:v>低</x:v>
      </x:c>
      <x:c r="M9" s="13" t="str">
        <x:v>对齐尖塔锻造祝福；只升级使用时已经在手牌中的牌。</x:v>
      </x:c>
    </x:row>
    <x:row r="10" ht="62" customHeight="1">
      <x:c r="A10" s="14" t="str">
        <x:v>T009</x:v>
      </x:c>
      <x:c r="B10" s="14" t="str">
        <x:v>棱镜瓶</x:v>
      </x:c>
      <x:c r="C10" s="14" t="str">
        <x:v>药剂</x:v>
      </x:c>
      <x:c r="D10" s="14" t="str">
        <x:v>常见</x:v>
      </x:c>
      <x:c r="E10" s="14" t="str">
        <x:v>战斗奖励/商店</x:v>
      </x:c>
      <x:c r="F10" s="14" t="str">
        <x:v>玩家回合</x:v>
      </x:c>
      <x:c r="G10" s="14" t="str">
        <x:v>生成牌</x:v>
      </x:c>
      <x:c r="H10" s="14" t="str">
        <x:v>从当前两种属性的随机候选中选择1张牌加入手牌；它本回合费用为0，且带消耗。</x:v>
      </x:c>
      <x:c r="I10" s="14" t="str">
        <x:v>临时解题</x:v>
      </x:c>
      <x:c r="J10" s="14" t="str">
        <x:v>三选一0费牌</x:v>
      </x:c>
      <x:c r="K10" s="14" t="str">
        <x:v>后续</x:v>
      </x:c>
      <x:c r="L10" s="14" t="str">
        <x:v>中</x:v>
      </x:c>
      <x:c r="M10" s="14" t="str">
        <x:v>参考尖塔攻击/技能/无色药水；候选只来自本局两种属性。</x:v>
      </x:c>
    </x:row>
    <x:row r="11" ht="62" customHeight="1">
      <x:c r="A11" s="13" t="str">
        <x:v>T010</x:v>
      </x:c>
      <x:c r="B11" s="13" t="str">
        <x:v>洗牌盐</x:v>
      </x:c>
      <x:c r="C11" s="13" t="str">
        <x:v>药剂</x:v>
      </x:c>
      <x:c r="D11" s="13" t="str">
        <x:v>常见</x:v>
      </x:c>
      <x:c r="E11" s="13" t="str">
        <x:v>战斗奖励/商店</x:v>
      </x:c>
      <x:c r="F11" s="13" t="str">
        <x:v>玩家回合</x:v>
      </x:c>
      <x:c r="G11" s="13" t="str">
        <x:v>手牌任意张</x:v>
      </x:c>
      <x:c r="H11" s="13" t="str">
        <x:v>弃掉任意数量的手牌，然后抽等量牌。</x:v>
      </x:c>
      <x:c r="I11" s="13" t="str">
        <x:v>重整手牌</x:v>
      </x:c>
      <x:c r="J11" s="13" t="str">
        <x:v>任意换手</x:v>
      </x:c>
      <x:c r="K11" s="13" t="str">
        <x:v>MVP</x:v>
      </x:c>
      <x:c r="L11" s="13" t="str">
        <x:v>低</x:v>
      </x:c>
      <x:c r="M11" s="13" t="str">
        <x:v>直接采用尖塔赌徒药水的成熟模板；弃牌触发正常结算。</x:v>
      </x:c>
    </x:row>
    <x:row r="12" ht="62" customHeight="1">
      <x:c r="A12" s="14" t="str">
        <x:v>T011</x:v>
      </x:c>
      <x:c r="B12" s="14" t="str">
        <x:v>断契钳</x:v>
      </x:c>
      <x:c r="C12" s="14" t="str">
        <x:v>工具</x:v>
      </x:c>
      <x:c r="D12" s="14" t="str">
        <x:v>罕见</x:v>
      </x:c>
      <x:c r="E12" s="14" t="str">
        <x:v>战斗奖励/商店</x:v>
      </x:c>
      <x:c r="F12" s="14" t="str">
        <x:v>玩家回合</x:v>
      </x:c>
      <x:c r="G12" s="14" t="str">
        <x:v>手牌任意张</x:v>
      </x:c>
      <x:c r="H12" s="14" t="str">
        <x:v>消耗任意数量的手牌；每消耗2张，获得1点能量并抽1张牌。</x:v>
      </x:c>
      <x:c r="I12" s="14" t="str">
        <x:v>压缩与爆发</x:v>
      </x:c>
      <x:c r="J12" s="14" t="str">
        <x:v>每2张换1能量+1抽</x:v>
      </x:c>
      <x:c r="K12" s="14" t="str">
        <x:v>MVP</x:v>
      </x:c>
      <x:c r="L12" s="14" t="str">
        <x:v>低</x:v>
      </x:c>
      <x:c r="M12" s="14" t="str">
        <x:v>0或1张也可消耗但不获奖励；同一批逐张进入消耗堆。</x:v>
      </x:c>
    </x:row>
    <x:row r="13" ht="62" customHeight="1">
      <x:c r="A13" s="13" t="str">
        <x:v>T012</x:v>
      </x:c>
      <x:c r="B13" s="13" t="str">
        <x:v>催燃剂</x:v>
      </x:c>
      <x:c r="C13" s="13" t="str">
        <x:v>投掷物</x:v>
      </x:c>
      <x:c r="D13" s="13" t="str">
        <x:v>罕见</x:v>
      </x:c>
      <x:c r="E13" s="13" t="str">
        <x:v>战斗奖励/商店</x:v>
      </x:c>
      <x:c r="F13" s="13" t="str">
        <x:v>玩家回合</x:v>
      </x:c>
      <x:c r="G13" s="13" t="str">
        <x:v>单个敌人</x:v>
      </x:c>
      <x:c r="H13" s="13" t="str">
        <x:v>选择目标身上的1种持续伤害状态，立即结算3次，且不衰减层数。</x:v>
      </x:c>
      <x:c r="I13" s="13" t="str">
        <x:v>状态爆发</x:v>
      </x:c>
      <x:c r="J13" s="13" t="str">
        <x:v>3次持续伤害</x:v>
      </x:c>
      <x:c r="K13" s="13" t="str">
        <x:v>MVP</x:v>
      </x:c>
      <x:c r="L13" s="13" t="str">
        <x:v>低</x:v>
      </x:c>
      <x:c r="M13" s="13" t="str">
        <x:v>由玩家选择灼伤、中毒等合法状态；没有持续伤害状态时不可使用。</x:v>
      </x:c>
    </x:row>
    <x:row r="14" ht="62" customHeight="1">
      <x:c r="A14" s="14" t="str">
        <x:v>T013</x:v>
      </x:c>
      <x:c r="B14" s="14" t="str">
        <x:v>回声瓶</x:v>
      </x:c>
      <x:c r="C14" s="14" t="str">
        <x:v>药剂</x:v>
      </x:c>
      <x:c r="D14" s="14" t="str">
        <x:v>罕见</x:v>
      </x:c>
      <x:c r="E14" s="14" t="str">
        <x:v>战斗奖励/商店</x:v>
      </x:c>
      <x:c r="F14" s="14" t="str">
        <x:v>玩家回合</x:v>
      </x:c>
      <x:c r="G14" s="14" t="str">
        <x:v>自己</x:v>
      </x:c>
      <x:c r="H14" s="14" t="str">
        <x:v>本回合打出的下一张牌额外结算1次。</x:v>
      </x:c>
      <x:c r="I14" s="14" t="str">
        <x:v>复制关键牌</x:v>
      </x:c>
      <x:c r="J14" s="14" t="str">
        <x:v>下一张牌×2</x:v>
      </x:c>
      <x:c r="K14" s="14" t="str">
        <x:v>MVP</x:v>
      </x:c>
      <x:c r="L14" s="14" t="str">
        <x:v>中</x:v>
      </x:c>
      <x:c r="M14" s="14" t="str">
        <x:v>参考尖塔复制药水；X费只支付一次费用，两次效果读取同一X值。</x:v>
      </x:c>
    </x:row>
    <x:row r="15" ht="62" customHeight="1">
      <x:c r="A15" s="13" t="str">
        <x:v>T014</x:v>
      </x:c>
      <x:c r="B15" s="13" t="str">
        <x:v>记忆露</x:v>
      </x:c>
      <x:c r="C15" s="13" t="str">
        <x:v>药剂</x:v>
      </x:c>
      <x:c r="D15" s="13" t="str">
        <x:v>罕见</x:v>
      </x:c>
      <x:c r="E15" s="13" t="str">
        <x:v>战斗奖励/商店</x:v>
      </x:c>
      <x:c r="F15" s="13" t="str">
        <x:v>玩家回合</x:v>
      </x:c>
      <x:c r="G15" s="13" t="str">
        <x:v>弃牌堆1张</x:v>
      </x:c>
      <x:c r="H15" s="13" t="str">
        <x:v>将弃牌堆中1张牌移入手牌，使其本回合费用为0。</x:v>
      </x:c>
      <x:c r="I15" s="13" t="str">
        <x:v>定向回收</x:v>
      </x:c>
      <x:c r="J15" s="13" t="str">
        <x:v>1张0费回收</x:v>
      </x:c>
      <x:c r="K15" s="13" t="str">
        <x:v>MVP</x:v>
      </x:c>
      <x:c r="L15" s="13" t="str">
        <x:v>中</x:v>
      </x:c>
      <x:c r="M15" s="13" t="str">
        <x:v>直接对齐尖塔液态记忆；消耗牌若已在消耗堆则不能选择。</x:v>
      </x:c>
    </x:row>
    <x:row r="16" ht="62" customHeight="1">
      <x:c r="A16" s="14" t="str">
        <x:v>T015</x:v>
      </x:c>
      <x:c r="B16" s="14" t="str">
        <x:v>冻存胶</x:v>
      </x:c>
      <x:c r="C16" s="14" t="str">
        <x:v>药剂</x:v>
      </x:c>
      <x:c r="D16" s="14" t="str">
        <x:v>罕见</x:v>
      </x:c>
      <x:c r="E16" s="14" t="str">
        <x:v>战斗奖励/商店</x:v>
      </x:c>
      <x:c r="F16" s="14" t="str">
        <x:v>玩家回合</x:v>
      </x:c>
      <x:c r="G16" s="14" t="str">
        <x:v>自己</x:v>
      </x:c>
      <x:c r="H16" s="14" t="str">
        <x:v>获得15点护盾；这些护盾下回合不会清除。</x:v>
      </x:c>
      <x:c r="I16" s="14" t="str">
        <x:v>跨回合防守</x:v>
      </x:c>
      <x:c r="J16" s="14" t="str">
        <x:v>15留存护盾</x:v>
      </x:c>
      <x:c r="K16" s="14" t="str">
        <x:v>MVP</x:v>
      </x:c>
      <x:c r="L16" s="14" t="str">
        <x:v>低</x:v>
      </x:c>
      <x:c r="M16" s="14" t="str">
        <x:v>比普通护盾药水高3点并带一次留存，定位为罕见防守爆发。</x:v>
      </x:c>
    </x:row>
    <x:row r="17" ht="62" customHeight="1">
      <x:c r="A17" s="13" t="str">
        <x:v>T016</x:v>
      </x:c>
      <x:c r="B17" s="13" t="str">
        <x:v>双相安瓿</x:v>
      </x:c>
      <x:c r="C17" s="13" t="str">
        <x:v>药剂</x:v>
      </x:c>
      <x:c r="D17" s="13" t="str">
        <x:v>罕见</x:v>
      </x:c>
      <x:c r="E17" s="13" t="str">
        <x:v>战斗奖励/商店</x:v>
      </x:c>
      <x:c r="F17" s="13" t="str">
        <x:v>玩家回合</x:v>
      </x:c>
      <x:c r="G17" s="13" t="str">
        <x:v>手牌2张</x:v>
      </x:c>
      <x:c r="H17" s="13" t="str">
        <x:v>选择2张不同属性的牌，使它们本回合费用变为0。</x:v>
      </x:c>
      <x:c r="I17" s="13" t="str">
        <x:v>双属性爆发</x:v>
      </x:c>
      <x:c r="J17" s="13" t="str">
        <x:v>最多两张0费</x:v>
      </x:c>
      <x:c r="K17" s="13" t="str">
        <x:v>后续</x:v>
      </x:c>
      <x:c r="L17" s="13" t="str">
        <x:v>中</x:v>
      </x:c>
      <x:c r="M17" s="13" t="str">
        <x:v>两张牌必须至少各有一个对方不具备的属性标签；费用只持续本回合。</x:v>
      </x:c>
    </x:row>
    <x:row r="18" ht="62" customHeight="1">
      <x:c r="A18" s="14" t="str">
        <x:v>T017</x:v>
      </x:c>
      <x:c r="B18" s="14" t="str">
        <x:v>聚力酊</x:v>
      </x:c>
      <x:c r="C18" s="14" t="str">
        <x:v>药剂</x:v>
      </x:c>
      <x:c r="D18" s="14" t="str">
        <x:v>罕见</x:v>
      </x:c>
      <x:c r="E18" s="14" t="str">
        <x:v>战斗奖励/商店</x:v>
      </x:c>
      <x:c r="F18" s="14" t="str">
        <x:v>玩家回合</x:v>
      </x:c>
      <x:c r="G18" s="14" t="str">
        <x:v>自己</x:v>
      </x:c>
      <x:c r="H18" s="14" t="str">
        <x:v>本回合获得5点力量。</x:v>
      </x:c>
      <x:c r="I18" s="14" t="str">
        <x:v>当回合爆发</x:v>
      </x:c>
      <x:c r="J18" s="14" t="str">
        <x:v>5临时力量</x:v>
      </x:c>
      <x:c r="K18" s="14" t="str">
        <x:v>MVP</x:v>
      </x:c>
      <x:c r="L18" s="14" t="str">
        <x:v>低</x:v>
      </x:c>
      <x:c r="M18" s="14" t="str">
        <x:v>参考尖塔弹性药水；回合结束失去同量力量，多段牌收益高。</x:v>
      </x:c>
    </x:row>
    <x:row r="19" ht="62" customHeight="1">
      <x:c r="A19" s="13" t="str">
        <x:v>T018</x:v>
      </x:c>
      <x:c r="B19" s="13" t="str">
        <x:v>状态磁瓶</x:v>
      </x:c>
      <x:c r="C19" s="13" t="str">
        <x:v>投掷物</x:v>
      </x:c>
      <x:c r="D19" s="13" t="str">
        <x:v>罕见</x:v>
      </x:c>
      <x:c r="E19" s="13" t="str">
        <x:v>战斗奖励/商店</x:v>
      </x:c>
      <x:c r="F19" s="13" t="str">
        <x:v>玩家回合</x:v>
      </x:c>
      <x:c r="G19" s="13" t="str">
        <x:v>两个敌人</x:v>
      </x:c>
      <x:c r="H19" s="13" t="str">
        <x:v>将第一个敌人的全部可转移负面状态移给第二个敌人，然后立即结算其中所有持续伤害状态1次。</x:v>
      </x:c>
      <x:c r="I19" s="13" t="str">
        <x:v>状态集中</x:v>
      </x:c>
      <x:c r="J19" s="13" t="str">
        <x:v>全状态转移+1次结算</x:v>
      </x:c>
      <x:c r="K19" s="13" t="str">
        <x:v>后续</x:v>
      </x:c>
      <x:c r="L19" s="13" t="str">
        <x:v>低</x:v>
      </x:c>
      <x:c r="M19" s="13" t="str">
        <x:v>不复制总层数；控制、阶段锁定和Boss专属状态不可转移。</x:v>
      </x:c>
    </x:row>
    <x:row r="20" ht="62" customHeight="1">
      <x:c r="A20" s="14" t="str">
        <x:v>T019</x:v>
      </x:c>
      <x:c r="B20" s="14" t="str">
        <x:v>静止钟</x:v>
      </x:c>
      <x:c r="C20" s="14" t="str">
        <x:v>封装物</x:v>
      </x:c>
      <x:c r="D20" s="14" t="str">
        <x:v>稀有</x:v>
      </x:c>
      <x:c r="E20" s="14" t="str">
        <x:v>战斗奖励/商店</x:v>
      </x:c>
      <x:c r="F20" s="14" t="str">
        <x:v>玩家回合</x:v>
      </x:c>
      <x:c r="G20" s="14" t="str">
        <x:v>敌方全体</x:v>
      </x:c>
      <x:c r="H20" s="14" t="str">
        <x:v>本回合所有敌人的攻击意图造成0点伤害。</x:v>
      </x:c>
      <x:c r="I20" s="14" t="str">
        <x:v>整回合保命</x:v>
      </x:c>
      <x:c r="J20" s="14" t="str">
        <x:v>攻击伤害归零/回合</x:v>
      </x:c>
      <x:c r="K20" s="14" t="str">
        <x:v>后续</x:v>
      </x:c>
      <x:c r="L20" s="14" t="str">
        <x:v>低</x:v>
      </x:c>
      <x:c r="M20" s="14" t="str">
        <x:v>只阻止攻击伤害；负面状态、召唤、强化和阶段转换照常执行。</x:v>
      </x:c>
    </x:row>
    <x:row r="21" ht="62" customHeight="1">
      <x:c r="A21" s="13" t="str">
        <x:v>T020</x:v>
      </x:c>
      <x:c r="B21" s="13" t="str">
        <x:v>逆命露</x:v>
      </x:c>
      <x:c r="C21" s="13" t="str">
        <x:v>药剂</x:v>
      </x:c>
      <x:c r="D21" s="13" t="str">
        <x:v>稀有</x:v>
      </x:c>
      <x:c r="E21" s="13" t="str">
        <x:v>战斗奖励/商店</x:v>
      </x:c>
      <x:c r="F21" s="13" t="str">
        <x:v>自动触发</x:v>
      </x:c>
      <x:c r="G21" s="13" t="str">
        <x:v>自己</x:v>
      </x:c>
      <x:c r="H21" s="13" t="str">
        <x:v>本局下一次受到致命伤害时，改为回复至30%最大生命，然后消耗此道具。</x:v>
      </x:c>
      <x:c r="I21" s="13" t="str">
        <x:v>死亡保险</x:v>
      </x:c>
      <x:c r="J21" s="13" t="str">
        <x:v>一次30%复活</x:v>
      </x:c>
      <x:c r="K21" s="13" t="str">
        <x:v>后续</x:v>
      </x:c>
      <x:c r="L21" s="13" t="str">
        <x:v>中</x:v>
      </x:c>
      <x:c r="M21" s="13" t="str">
        <x:v>参考尖塔瓶中仙女；占用栏位且自动触发，回复向上取整。</x:v>
      </x:c>
    </x:row>
    <x:row r="22" ht="62" customHeight="1">
      <x:c r="A22" s="14" t="str">
        <x:v>T021</x:v>
      </x:c>
      <x:c r="B22" s="14" t="str">
        <x:v>万象酿</x:v>
      </x:c>
      <x:c r="C22" s="14" t="str">
        <x:v>药剂</x:v>
      </x:c>
      <x:c r="D22" s="14" t="str">
        <x:v>稀有</x:v>
      </x:c>
      <x:c r="E22" s="14" t="str">
        <x:v>战斗奖励/商店</x:v>
      </x:c>
      <x:c r="F22" s="14" t="str">
        <x:v>战斗内外均可</x:v>
      </x:c>
      <x:c r="G22" s="14" t="str">
        <x:v>道具栏</x:v>
      </x:c>
      <x:c r="H22" s="14" t="str">
        <x:v>用随机主池道具填满所有空道具栏位。</x:v>
      </x:c>
      <x:c r="I22" s="14" t="str">
        <x:v>补满库存</x:v>
      </x:c>
      <x:c r="J22" s="14" t="str">
        <x:v>填满空栏</x:v>
      </x:c>
      <x:c r="K22" s="14" t="str">
        <x:v>后续</x:v>
      </x:c>
      <x:c r="L22" s="14" t="str">
        <x:v>中</x:v>
      </x:c>
      <x:c r="M22" s="14" t="str">
        <x:v>参考尖塔熵酿；不能生成自身、逆命露或事件道具。</x:v>
      </x:c>
    </x:row>
    <x:row r="23" ht="62" customHeight="1">
      <x:c r="A23" s="13" t="str">
        <x:v>T022</x:v>
      </x:c>
      <x:c r="B23" s="13" t="str">
        <x:v>契灵激素</x:v>
      </x:c>
      <x:c r="C23" s="13" t="str">
        <x:v>药剂</x:v>
      </x:c>
      <x:c r="D23" s="13" t="str">
        <x:v>稀有</x:v>
      </x:c>
      <x:c r="E23" s="13" t="str">
        <x:v>战斗奖励/商店</x:v>
      </x:c>
      <x:c r="F23" s="13" t="str">
        <x:v>玩家回合</x:v>
      </x:c>
      <x:c r="G23" s="13" t="str">
        <x:v>契灵主动技能</x:v>
      </x:c>
      <x:c r="H23" s="13" t="str">
        <x:v>恢复本场战斗中已经使用过的契灵主动技能。</x:v>
      </x:c>
      <x:c r="I23" s="13" t="str">
        <x:v>主动技能复用</x:v>
      </x:c>
      <x:c r="J23" s="13" t="str">
        <x:v>额外1次主动技能</x:v>
      </x:c>
      <x:c r="K23" s="13" t="str">
        <x:v>后续</x:v>
      </x:c>
      <x:c r="L23" s="13" t="str">
        <x:v>低</x:v>
      </x:c>
      <x:c r="M23" s="13" t="str">
        <x:v>只恢复1个已使用的主动技能；若有多个契灵，使用时选择其一。</x:v>
      </x:c>
    </x:row>
    <x:row r="24" ht="62" customHeight="1">
      <x:c r="A24" s="14" t="str">
        <x:v>T023</x:v>
      </x:c>
      <x:c r="B24" s="14" t="str">
        <x:v>终页种荚</x:v>
      </x:c>
      <x:c r="C24" s="14" t="str">
        <x:v>事件道具</x:v>
      </x:c>
      <x:c r="D24" s="14" t="str">
        <x:v>专属</x:v>
      </x:c>
      <x:c r="E24" s="14" t="str">
        <x:v>事件</x:v>
      </x:c>
      <x:c r="F24" s="14" t="str">
        <x:v>玩家回合</x:v>
      </x:c>
      <x:c r="G24" s="14" t="str">
        <x:v>手牌1张</x:v>
      </x:c>
      <x:c r="H24" s="14" t="str">
        <x:v>选择手牌中1张可升级牌，将其移出本场战斗；若本场战斗胜利，战后永久升级该牌。</x:v>
      </x:c>
      <x:c r="I24" s="14" t="str">
        <x:v>战斗牺牲换成长</x:v>
      </x:c>
      <x:c r="J24" s="14" t="str">
        <x:v>1次永久升级</x:v>
      </x:c>
      <x:c r="K24" s="14" t="str">
        <x:v>后续</x:v>
      </x:c>
      <x:c r="L24" s="14" t="str">
        <x:v>低</x:v>
      </x:c>
      <x:c r="M24" s="14" t="str">
        <x:v>失败或逃跑不升级；被移出的牌战后必定回到牌组。</x:v>
      </x:c>
    </x:row>
    <x:row r="25" ht="62" customHeight="1">
      <x:c r="A25" s="13" t="str">
        <x:v>T024</x:v>
      </x:c>
      <x:c r="B25" s="13" t="str">
        <x:v>逆流封条</x:v>
      </x:c>
      <x:c r="C25" s="13" t="str">
        <x:v>事件道具</x:v>
      </x:c>
      <x:c r="D25" s="13" t="str">
        <x:v>专属</x:v>
      </x:c>
      <x:c r="E25" s="13" t="str">
        <x:v>事件</x:v>
      </x:c>
      <x:c r="F25" s="13" t="str">
        <x:v>玩家回合</x:v>
      </x:c>
      <x:c r="G25" s="13" t="str">
        <x:v>整个战场</x:v>
      </x:c>
      <x:c r="H25" s="13" t="str">
        <x:v>将战场恢复到本回合开始时的状态，但本件道具保持已消耗。</x:v>
      </x:c>
      <x:c r="I25" s="13" t="str">
        <x:v>回合重来</x:v>
      </x:c>
      <x:c r="J25" s="13" t="str">
        <x:v>1次状态回滚</x:v>
      </x:c>
      <x:c r="K25" s="13" t="str">
        <x:v>后续</x:v>
      </x:c>
      <x:c r="L25" s="13" t="str">
        <x:v>低</x:v>
      </x:c>
      <x:c r="M25" s="13" t="str">
        <x:v>恢复双方生命、护盾、能量、手牌、牌堆与状态；随机种子不回滚。</x:v>
      </x:c>
    </x:row>
  </x:sheetData>
  <x:conditionalFormatting sqref="K2:K25">
    <x:cfRule type="containsText" dxfId="0" priority="1" operator="containsText" text="MVP"/>
    <x:cfRule type="containsText" dxfId="1" priority="2" operator="containsText" text="后续"/>
  </x:conditionalFormatting>
  <x:conditionalFormatting sqref="L2:L25">
    <x:cfRule type="containsText" dxfId="2" priority="3" operator="containsText" text="中"/>
  </x:conditionalFormatting>
  <x:dataValidations count="3">
    <x:dataValidation type="list" sqref="D2:D25">
      <x:formula1>"常见,罕见,稀有,专属"</x:formula1>
    </x:dataValidation>
    <x:dataValidation type="list" sqref="K2:K25">
      <x:formula1>"MVP,后续"</x:formula1>
    </x:dataValidation>
    <x:dataValidation type="list" sqref="L2:L25">
      <x:formula1>"低,中,高"</x:formula1>
    </x:dataValidation>
  </x:dataValidations>
  <x:pageMargins left="0.7" right="0.7" top="0.75" bottom="0.75" header="0.3" footer="0.3"/>
  <x:legacyDrawing xmlns:r="http://schemas.openxmlformats.org/officeDocument/2006/relationships" r:id="Rf5df4a70fe0f4063"/>
  <x:tableParts count="1">
    <x:tablePart xmlns:r="http://schemas.openxmlformats.org/officeDocument/2006/relationships" r:id="Re75414b9b6e64b9e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56" hidden="0" customWidth="1"/>
    <x:col min="3" max="3" width="12" hidden="0" customWidth="1"/>
    <x:col min="4" max="4" width="20" hidden="0" customWidth="1"/>
    <x:col min="5" max="5" width="12" hidden="0" customWidth="1"/>
    <x:col min="6" max="6" width="12" hidden="0" customWidth="1"/>
    <x:col min="7" max="7" width="10" hidden="0" customWidth="1"/>
    <x:col min="8" max="8" width="10" hidden="0" customWidth="1"/>
  </x:cols>
  <x:sheetData>
    <x:row r="1" ht="34" customHeight="1">
      <x:c r="A1" s="16" t="str">
        <x:v>战斗消耗道具池 v2｜高强度评审版
以《杀戮尖塔》药水数值为底线，再加入本项目专属爆发</x:v>
      </x:c>
      <x:c r="B1" s="16" t="str">
        <x:v>战斗消耗道具池 v2｜高强度评审版
以《杀戮尖塔》药水数值为底线，再加入本项目专属爆发</x:v>
      </x:c>
      <x:c r="C1" s="16" t="str">
        <x:v>战斗消耗道具池 v2｜高强度评审版
以《杀戮尖塔》药水数值为底线，再加入本项目专属爆发</x:v>
      </x:c>
      <x:c r="D1" s="16" t="str">
        <x:v>战斗消耗道具池 v2｜高强度评审版
以《杀戮尖塔》药水数值为底线，再加入本项目专属爆发</x:v>
      </x:c>
      <x:c r="E1" s="16" t="str">
        <x:v>战斗消耗道具池 v2｜高强度评审版
以《杀戮尖塔》药水数值为底线，再加入本项目专属爆发</x:v>
      </x:c>
      <x:c r="F1" s="16" t="str">
        <x:v>战斗消耗道具池 v2｜高强度评审版
以《杀戮尖塔》药水数值为底线，再加入本项目专属爆发</x:v>
      </x:c>
      <x:c r="G1" s="16" t="str">
        <x:v>战斗消耗道具池 v2｜高强度评审版
以《杀戮尖塔》药水数值为底线，再加入本项目专属爆发</x:v>
      </x:c>
      <x:c r="H1" s="16" t="str">
        <x:v>战斗消耗道具池 v2｜高强度评审版
以《杀戮尖塔》药水数值为底线，再加入本项目专属爆发</x:v>
      </x:c>
    </x:row>
    <x:row r="2" ht="34" customHeight="1">
      <x:c r="A2" s="16" t="str">
        <x:v>战斗消耗道具池 v2｜高强度评审版
以《杀戮尖塔》药水数值为底线，再加入本项目专属爆发</x:v>
      </x:c>
      <x:c r="B2" s="16" t="str">
        <x:v>战斗消耗道具池 v2｜高强度评审版
以《杀戮尖塔》药水数值为底线，再加入本项目专属爆发</x:v>
      </x:c>
      <x:c r="C2" s="16" t="str">
        <x:v>战斗消耗道具池 v2｜高强度评审版
以《杀戮尖塔》药水数值为底线，再加入本项目专属爆发</x:v>
      </x:c>
      <x:c r="D2" s="16" t="str">
        <x:v>战斗消耗道具池 v2｜高强度评审版
以《杀戮尖塔》药水数值为底线，再加入本项目专属爆发</x:v>
      </x:c>
      <x:c r="E2" s="16" t="str">
        <x:v>战斗消耗道具池 v2｜高强度评审版
以《杀戮尖塔》药水数值为底线，再加入本项目专属爆发</x:v>
      </x:c>
      <x:c r="F2" s="16" t="str">
        <x:v>战斗消耗道具池 v2｜高强度评审版
以《杀戮尖塔》药水数值为底线，再加入本项目专属爆发</x:v>
      </x:c>
      <x:c r="G2" s="16" t="str">
        <x:v>战斗消耗道具池 v2｜高强度评审版
以《杀戮尖塔》药水数值为底线，再加入本项目专属爆发</x:v>
      </x:c>
      <x:c r="H2" s="16" t="str">
        <x:v>战斗消耗道具池 v2｜高强度评审版
以《杀戮尖塔》药水数值为底线，再加入本项目专属爆发</x:v>
      </x:c>
    </x:row>
    <x:row r="4">
      <x:c r="A4" s="20" t="str">
        <x:v>核心口径</x:v>
      </x:c>
      <x:c r="B4" s="20" t="str">
        <x:v>结论</x:v>
      </x:c>
      <x:c r="D4" s="20" t="str">
        <x:v>池内统计</x:v>
      </x:c>
      <x:c r="E4" s="20" t="str">
        <x:v>件数</x:v>
      </x:c>
      <x:c r="F4" s="20" t="str">
        <x:v>占全部</x:v>
      </x:c>
    </x:row>
    <x:row r="5" ht="32" customHeight="1">
      <x:c r="A5" s="10" t="str">
        <x:v>定义</x:v>
      </x:c>
      <x:c r="B5" s="10" t="str">
        <x:v>一次性战术道具；不进牌组、不耗能量、使用后消失</x:v>
      </x:c>
      <x:c r="D5" s="10" t="str">
        <x:v>常见</x:v>
      </x:c>
      <x:c r="E5" s="10" t="n">
        <x:f>COUNTIF('消耗道具池'!$D$2:$D$25,D5)</x:f>
        <x:v>10</x:v>
      </x:c>
      <x:c r="F5" s="27" t="n">
        <x:f>E5/$E$9</x:f>
        <x:v>0.4166666666666667</x:v>
      </x:c>
    </x:row>
    <x:row r="6" ht="32" customHeight="1">
      <x:c r="A6" s="11" t="str">
        <x:v>携带</x:v>
      </x:c>
      <x:c r="B6" s="11" t="str">
        <x:v>初始3格；允许携带重复道具</x:v>
      </x:c>
      <x:c r="D6" s="11" t="str">
        <x:v>罕见</x:v>
      </x:c>
      <x:c r="E6" s="11" t="n">
        <x:f>COUNTIF('消耗道具池'!$D$2:$D$25,D6)</x:f>
        <x:v>8</x:v>
      </x:c>
      <x:c r="F6" s="28" t="n">
        <x:f>E6/$E$9</x:f>
        <x:v>0.3333333333333333</x:v>
      </x:c>
    </x:row>
    <x:row r="7" ht="32" customHeight="1">
      <x:c r="A7" s="11" t="str">
        <x:v>规模</x:v>
      </x:c>
      <x:c r="B7" s="11" t="str">
        <x:v>24件候选：22件主池 + 2件事件</x:v>
      </x:c>
      <x:c r="D7" s="11" t="str">
        <x:v>稀有</x:v>
      </x:c>
      <x:c r="E7" s="11" t="n">
        <x:f>COUNTIF('消耗道具池'!$D$2:$D$25,D7)</x:f>
        <x:v>4</x:v>
      </x:c>
      <x:c r="F7" s="28" t="n">
        <x:f>E7/$E$9</x:f>
        <x:v>0.16666666666666666</x:v>
      </x:c>
    </x:row>
    <x:row r="8" ht="32" customHeight="1">
      <x:c r="A8" s="11" t="str">
        <x:v>开发分层</x:v>
      </x:c>
      <x:c r="B8" s="11" t="str">
        <x:v>15件MVP / 9件后续</x:v>
      </x:c>
      <x:c r="D8" s="11" t="str">
        <x:v>事件专属</x:v>
      </x:c>
      <x:c r="E8" s="11" t="n">
        <x:f>COUNTIF('消耗道具池'!$C$2:$C$25,"事件道具")</x:f>
        <x:v>2</x:v>
      </x:c>
      <x:c r="F8" s="28" t="n">
        <x:f>E8/$E$9</x:f>
        <x:v>0.08333333333333333</x:v>
      </x:c>
    </x:row>
    <x:row r="9" ht="32" customHeight="1">
      <x:c r="A9" s="11" t="str">
        <x:v>数值底线</x:v>
      </x:c>
      <x:c r="B9" s="11" t="str">
        <x:v>20单伤 / 10群伤 / 12护盾 / 2能量 / 抽3张 / 20%回复</x:v>
      </x:c>
      <x:c r="D9" s="33" t="str">
        <x:v>合计</x:v>
      </x:c>
      <x:c r="E9" s="33" t="n">
        <x:f>SUM(E5:E8)</x:f>
        <x:v>24</x:v>
      </x:c>
      <x:c r="F9" s="34" t="n">
        <x:f>SUM(F5:F8)</x:f>
        <x:v>1</x:v>
      </x:c>
    </x:row>
    <x:row r="10" ht="32" customHeight="1">
      <x:c r="A10" s="11" t="str">
        <x:v>美术阶段</x:v>
      </x:c>
      <x:c r="B10" s="11" t="str">
        <x:v>机制通过后统一设计容器、工具和投掷物图标</x:v>
      </x:c>
    </x:row>
    <x:row r="12">
      <x:c r="A12" s="20" t="str">
        <x:v>质量门槛</x:v>
      </x:c>
      <x:c r="B12" s="20" t="str">
        <x:v>结果</x:v>
      </x:c>
      <x:c r="C12" s="20" t="str">
        <x:v>目标</x:v>
      </x:c>
      <x:c r="D12" s="20" t="str">
        <x:v>说明</x:v>
      </x:c>
      <x:c r="E12" s="20"/>
      <x:c r="F12" s="20"/>
    </x:row>
    <x:row r="13">
      <x:c r="A13" s="10" t="str">
        <x:v>MVP数量</x:v>
      </x:c>
      <x:c r="B13" s="10" t="n">
        <x:f>COUNTIF('消耗道具池'!$K$2:$K$25,"MVP")</x:f>
        <x:v>15</x:v>
      </x:c>
      <x:c r="C13" s="10" t="n">
        <x:v>15</x:v>
      </x:c>
      <x:c r="D13" s="10" t="str">
        <x:v>先实现直接伤害、护盾、抽牌、能量与成熟牌区模板</x:v>
      </x:c>
      <x:c r="E13" s="10"/>
      <x:c r="F13" s="10"/>
    </x:row>
    <x:row r="14">
      <x:c r="A14" s="11" t="str">
        <x:v>同构高风险</x:v>
      </x:c>
      <x:c r="B14" s="11" t="n">
        <x:f>COUNTIF('消耗道具池'!$L$2:$L$25,"高")</x:f>
        <x:v>0</x:v>
      </x:c>
      <x:c r="C14" s="11" t="n">
        <x:v>0</x:v>
      </x:c>
      <x:c r="D14" s="11" t="str">
        <x:v>这里指无意同构；明确参考尖塔的模板已在标尺表登记</x:v>
      </x:c>
      <x:c r="E14" s="11"/>
      <x:c r="F14" s="11"/>
    </x:row>
    <x:row r="15">
      <x:c r="A15" s="11" t="str">
        <x:v>主池件数</x:v>
      </x:c>
      <x:c r="B15" s="11" t="n">
        <x:f>COUNTIFS('消耗道具池'!$D$2:$D$25,"&lt;&gt;专属")</x:f>
        <x:v>22</x:v>
      </x:c>
      <x:c r="C15" s="11" t="n">
        <x:v>22</x:v>
      </x:c>
      <x:c r="D15" s="11" t="str">
        <x:v>事件道具不进入普通掉落</x:v>
      </x:c>
      <x:c r="E15" s="11"/>
      <x:c r="F15" s="11"/>
    </x:row>
    <x:row r="16">
      <x:c r="A16" s="11" t="str">
        <x:v>携带栏位</x:v>
      </x:c>
      <x:c r="B16" s="11" t="n">
        <x:v>3</x:v>
      </x:c>
      <x:c r="C16" s="11" t="n">
        <x:v>3</x:v>
      </x:c>
      <x:c r="D16" s="11" t="str">
        <x:v>直接采用成熟的3格压力</x:v>
      </x:c>
      <x:c r="E16" s="11"/>
      <x:c r="F16" s="11"/>
    </x:row>
    <x:row r="18">
      <x:c r="A18" s="20" t="str">
        <x:v>与遗物的边界</x:v>
      </x:c>
      <x:c r="B18" s="20" t="str">
        <x:v>与遗物的边界</x:v>
      </x:c>
      <x:c r="C18" s="20" t="str">
        <x:v>与遗物的边界</x:v>
      </x:c>
      <x:c r="D18" s="20" t="str">
        <x:v>与遗物的边界</x:v>
      </x:c>
      <x:c r="E18" s="20" t="str">
        <x:v>与遗物的边界</x:v>
      </x:c>
      <x:c r="F18" s="20" t="str">
        <x:v>与遗物的边界</x:v>
      </x:c>
      <x:c r="G18" s="20" t="str">
        <x:v>与遗物的边界</x:v>
      </x:c>
      <x:c r="H18" s="20" t="str">
        <x:v>与遗物的边界</x:v>
      </x:c>
    </x:row>
    <x:row r="19" ht="34" customHeight="1">
      <x:c r="A19" s="10" t="str">
        <x:v>持续时间</x:v>
      </x:c>
      <x:c r="B19" s="10" t="str">
        <x:v>消耗道具：使用一次后消失</x:v>
      </x:c>
      <x:c r="C19" s="10"/>
      <x:c r="D19" s="10" t="str">
        <x:v>旅途遗物：获得后整局永久生效</x:v>
      </x:c>
      <x:c r="E19" s="10"/>
      <x:c r="F19" s="10"/>
      <x:c r="G19" s="10"/>
      <x:c r="H19" s="10"/>
    </x:row>
    <x:row r="20" ht="34" customHeight="1">
      <x:c r="A20" s="11" t="str">
        <x:v>操作入口</x:v>
      </x:c>
      <x:c r="B20" s="11" t="str">
        <x:v>消耗道具：玩家主动选择使用时机与目标</x:v>
      </x:c>
      <x:c r="C20" s="11"/>
      <x:c r="D20" s="11" t="str">
        <x:v>旅途遗物：自动监听事件，无战斗内主动按钮</x:v>
      </x:c>
      <x:c r="E20" s="11"/>
      <x:c r="F20" s="11"/>
      <x:c r="G20" s="11"/>
      <x:c r="H20" s="11"/>
    </x:row>
    <x:row r="21" ht="34" customHeight="1">
      <x:c r="A21" s="11" t="str">
        <x:v>强度形态</x:v>
      </x:c>
      <x:c r="B21" s="11" t="str">
        <x:v>消耗道具：允许单次救命或规则改写</x:v>
      </x:c>
      <x:c r="C21" s="11"/>
      <x:c r="D21" s="11" t="str">
        <x:v>旅途遗物：单次较弱，但跨多场累计</x:v>
      </x:c>
      <x:c r="E21" s="11"/>
      <x:c r="F21" s="11"/>
      <x:c r="G21" s="11"/>
      <x:c r="H21" s="11"/>
    </x:row>
    <x:row r="22" ht="34" customHeight="1">
      <x:c r="A22" s="11" t="str">
        <x:v>本轮结论</x:v>
      </x:c>
      <x:c r="B22" s="11" t="str">
        <x:v>上一份遗物候选不并入本系统</x:v>
      </x:c>
      <x:c r="C22" s="11"/>
      <x:c r="D22" s="11" t="str">
        <x:v>本工作簿才是“类似药水的道具”提案。</x:v>
      </x:c>
      <x:c r="E22" s="11"/>
      <x:c r="F22" s="11"/>
      <x:c r="G22" s="11"/>
      <x:c r="H22" s="11"/>
    </x:row>
  </x:sheetData>
  <x:mergeCells>
    <x:mergeCell ref="A1:H2"/>
    <x:mergeCell ref="D12:F12"/>
    <x:mergeCell ref="D13:F13"/>
    <x:mergeCell ref="D14:F14"/>
    <x:mergeCell ref="D15:F15"/>
    <x:mergeCell ref="D16:F16"/>
    <x:mergeCell ref="A18:H18"/>
    <x:mergeCell ref="B19:C19"/>
    <x:mergeCell ref="D19:H19"/>
    <x:mergeCell ref="B20:C20"/>
    <x:mergeCell ref="D20:H20"/>
    <x:mergeCell ref="B21:C21"/>
    <x:mergeCell ref="D21:H21"/>
    <x:mergeCell ref="B22:C22"/>
    <x:mergeCell ref="D22:H22"/>
  </x:mergeCells>
  <x:conditionalFormatting sqref="B13:B16">
    <x:cfRule type="cellIs" dxfId="3" priority="1" operator="equal">
      <x:formula>C13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4" hidden="0" customWidth="1"/>
    <x:col min="3" max="3" width="42" hidden="0" customWidth="1"/>
    <x:col min="4" max="4" width="28" hidden="0" customWidth="1"/>
    <x:col min="5" max="5" width="46" hidden="0" customWidth="1"/>
    <x:col min="6" max="6" width="38" hidden="0" customWidth="1"/>
  </x:cols>
  <x:sheetData>
    <x:row r="1">
      <x:c r="A1" s="16" t="str">
        <x:v>《杀戮尖塔》药水标尺｜v2数值锚点</x:v>
      </x:c>
      <x:c r="B1" s="16" t="str">
        <x:v>《杀戮尖塔》药水标尺｜v2数值锚点</x:v>
      </x:c>
      <x:c r="C1" s="16" t="str">
        <x:v>《杀戮尖塔》药水标尺｜v2数值锚点</x:v>
      </x:c>
      <x:c r="D1" s="16" t="str">
        <x:v>《杀戮尖塔》药水标尺｜v2数值锚点</x:v>
      </x:c>
      <x:c r="E1" s="16" t="str">
        <x:v>《杀戮尖塔》药水标尺｜v2数值锚点</x:v>
      </x:c>
      <x:c r="F1" s="16" t="str">
        <x:v>《杀戮尖塔》药水标尺｜v2数值锚点</x:v>
      </x:c>
    </x:row>
    <x:row r="2">
      <x:c r="A2" s="16" t="str">
        <x:v>《杀戮尖塔》药水标尺｜v2数值锚点</x:v>
      </x:c>
      <x:c r="B2" s="16" t="str">
        <x:v>《杀戮尖塔》药水标尺｜v2数值锚点</x:v>
      </x:c>
      <x:c r="C2" s="16" t="str">
        <x:v>《杀戮尖塔》药水标尺｜v2数值锚点</x:v>
      </x:c>
      <x:c r="D2" s="16" t="str">
        <x:v>《杀戮尖塔》药水标尺｜v2数值锚点</x:v>
      </x:c>
      <x:c r="E2" s="16" t="str">
        <x:v>《杀戮尖塔》药水标尺｜v2数值锚点</x:v>
      </x:c>
      <x:c r="F2" s="16" t="str">
        <x:v>《杀戮尖塔》药水标尺｜v2数值锚点</x:v>
      </x:c>
    </x:row>
    <x:row r="4">
      <x:c r="A4" s="4" t="str">
        <x:v>尖塔药水</x:v>
      </x:c>
      <x:c r="B4" s="4" t="str">
        <x:v>稀有度</x:v>
      </x:c>
      <x:c r="C4" s="4" t="str">
        <x:v>尖塔效果</x:v>
      </x:c>
      <x:c r="D4" s="4" t="str">
        <x:v>本项目对应</x:v>
      </x:c>
      <x:c r="E4" s="4" t="str">
        <x:v>本项目效果</x:v>
      </x:c>
      <x:c r="F4" s="4" t="str">
        <x:v>裁定</x:v>
      </x:c>
    </x:row>
    <x:row r="5" ht="46" customHeight="1">
      <x:c r="A5" s="35" t="str">
        <x:v>Fire Potion</x:v>
      </x:c>
      <x:c r="B5" s="35" t="str">
        <x:v>常见</x:v>
      </x:c>
      <x:c r="C5" s="35" t="str">
        <x:v>造成20点单体伤害</x:v>
      </x:c>
      <x:c r="D5" s="35" t="str">
        <x:v>T001 赤芯爆弹</x:v>
      </x:c>
      <x:c r="E5" s="35" t="str">
        <x:v>20伤；有负面状态时25伤</x:v>
      </x:c>
      <x:c r="F5" s="35" t="str">
        <x:v>以20为底，条件上浮25%</x:v>
      </x:c>
    </x:row>
    <x:row r="6" ht="46" customHeight="1">
      <x:c r="A6" s="13" t="str">
        <x:v>Block Potion</x:v>
      </x:c>
      <x:c r="B6" s="13" t="str">
        <x:v>常见</x:v>
      </x:c>
      <x:c r="C6" s="13" t="str">
        <x:v>获得12点护盾</x:v>
      </x:c>
      <x:c r="D6" s="13" t="str">
        <x:v>T002 霜壳药膏</x:v>
      </x:c>
      <x:c r="E6" s="13" t="str">
        <x:v>12盾；空盾时16盾</x:v>
      </x:c>
      <x:c r="F6" s="13" t="str">
        <x:v>以12为底，救急窗口上浮</x:v>
      </x:c>
    </x:row>
    <x:row r="7" ht="46" customHeight="1">
      <x:c r="A7" s="36" t="str">
        <x:v>Swift Potion</x:v>
      </x:c>
      <x:c r="B7" s="36" t="str">
        <x:v>常见</x:v>
      </x:c>
      <x:c r="C7" s="36" t="str">
        <x:v>抽3张牌</x:v>
      </x:c>
      <x:c r="D7" s="36" t="str">
        <x:v>T003 疾风灵露</x:v>
      </x:c>
      <x:c r="E7" s="36" t="str">
        <x:v>抽3张牌</x:v>
      </x:c>
      <x:c r="F7" s="36" t="str">
        <x:v>直接采用</x:v>
      </x:c>
    </x:row>
    <x:row r="8" ht="46" customHeight="1">
      <x:c r="A8" s="13" t="str">
        <x:v>Energy Potion</x:v>
      </x:c>
      <x:c r="B8" s="13" t="str">
        <x:v>常见</x:v>
      </x:c>
      <x:c r="C8" s="13" t="str">
        <x:v>获得2点能量</x:v>
      </x:c>
      <x:c r="D8" s="13" t="str">
        <x:v>T004 过载针</x:v>
      </x:c>
      <x:c r="E8" s="13" t="str">
        <x:v>获得2点能量</x:v>
      </x:c>
      <x:c r="F8" s="13" t="str">
        <x:v>直接采用</x:v>
      </x:c>
    </x:row>
    <x:row r="9" ht="46" customHeight="1">
      <x:c r="A9" s="36" t="str">
        <x:v>Blood Potion</x:v>
      </x:c>
      <x:c r="B9" s="36" t="str">
        <x:v>常见/角色</x:v>
      </x:c>
      <x:c r="C9" s="36" t="str">
        <x:v>回复20%最大生命</x:v>
      </x:c>
      <x:c r="D9" s="36" t="str">
        <x:v>T005 回温血清</x:v>
      </x:c>
      <x:c r="E9" s="36" t="str">
        <x:v>回复20%最大生命</x:v>
      </x:c>
      <x:c r="F9" s="36" t="str">
        <x:v>直接采用</x:v>
      </x:c>
    </x:row>
    <x:row r="10" ht="46" customHeight="1">
      <x:c r="A10" s="13" t="str">
        <x:v>Explosive Potion</x:v>
      </x:c>
      <x:c r="B10" s="13" t="str">
        <x:v>常见</x:v>
      </x:c>
      <x:c r="C10" s="13" t="str">
        <x:v>对敌方全体造成10点伤害</x:v>
      </x:c>
      <x:c r="D10" s="13" t="str">
        <x:v>T007 爆裂雷管</x:v>
      </x:c>
      <x:c r="E10" s="13" t="str">
        <x:v>对敌方全体造成10点伤害</x:v>
      </x:c>
      <x:c r="F10" s="13" t="str">
        <x:v>直接采用</x:v>
      </x:c>
    </x:row>
    <x:row r="11" ht="46" customHeight="1">
      <x:c r="A11" s="36" t="str">
        <x:v>Duplication Potion</x:v>
      </x:c>
      <x:c r="B11" s="36" t="str">
        <x:v>罕见</x:v>
      </x:c>
      <x:c r="C11" s="36" t="str">
        <x:v>下一张牌打出2次</x:v>
      </x:c>
      <x:c r="D11" s="36" t="str">
        <x:v>T013 回声瓶</x:v>
      </x:c>
      <x:c r="E11" s="36" t="str">
        <x:v>下一张牌额外结算1次</x:v>
      </x:c>
      <x:c r="F11" s="36" t="str">
        <x:v>直接采用成熟模板</x:v>
      </x:c>
    </x:row>
    <x:row r="12" ht="46" customHeight="1">
      <x:c r="A12" s="13" t="str">
        <x:v>Liquid Memories</x:v>
      </x:c>
      <x:c r="B12" s="13" t="str">
        <x:v>罕见</x:v>
      </x:c>
      <x:c r="C12" s="13" t="str">
        <x:v>弃牌堆1张回手且本回合0费</x:v>
      </x:c>
      <x:c r="D12" s="13" t="str">
        <x:v>T014 记忆露</x:v>
      </x:c>
      <x:c r="E12" s="13" t="str">
        <x:v>弃牌堆1张回手且本回合0费</x:v>
      </x:c>
      <x:c r="F12" s="13" t="str">
        <x:v>直接采用成熟模板</x:v>
      </x:c>
    </x:row>
    <x:row r="13" ht="46" customHeight="1">
      <x:c r="A13" s="36" t="str">
        <x:v>Fairy in a Bottle</x:v>
      </x:c>
      <x:c r="B13" s="36" t="str">
        <x:v>稀有</x:v>
      </x:c>
      <x:c r="C13" s="36" t="str">
        <x:v>致命时回复至30%最大生命</x:v>
      </x:c>
      <x:c r="D13" s="36" t="str">
        <x:v>T020 逆命露</x:v>
      </x:c>
      <x:c r="E13" s="36" t="str">
        <x:v>致命时回复至30%最大生命</x:v>
      </x:c>
      <x:c r="F13" s="36" t="str">
        <x:v>直接采用成熟模板</x:v>
      </x:c>
    </x:row>
    <x:row r="14" ht="46" customHeight="1">
      <x:c r="A14" s="13" t="str">
        <x:v>掉落规则</x:v>
      </x:c>
      <x:c r="B14" s="13" t="str">
        <x:v>系统</x:v>
      </x:c>
      <x:c r="C14" s="13" t="str">
        <x:v>初始40%；成功-10%，失败+10%</x:v>
      </x:c>
      <x:c r="D14" s="13" t="str">
        <x:v>系统规则</x:v>
      </x:c>
      <x:c r="E14" s="13" t="str">
        <x:v>同尖塔</x:v>
      </x:c>
      <x:c r="F14" s="13" t="str">
        <x:v>章节开始重置40%</x:v>
      </x:c>
    </x:row>
    <x:row r="15" ht="46" customHeight="1">
      <x:c r="A15" s="36" t="str">
        <x:v>稀有度权重</x:v>
      </x:c>
      <x:c r="B15" s="36" t="str">
        <x:v>系统</x:v>
      </x:c>
      <x:c r="C15" s="36" t="str">
        <x:v>常见65% / 罕见25% / 稀有10%</x:v>
      </x:c>
      <x:c r="D15" s="36" t="str">
        <x:v>系统规则</x:v>
      </x:c>
      <x:c r="E15" s="36" t="str">
        <x:v>同尖塔</x:v>
      </x:c>
      <x:c r="F15" s="36" t="str">
        <x:v>主池22件按权重抽取</x:v>
      </x:c>
    </x:row>
    <x:row r="17">
      <x:c r="A17" s="20" t="str">
        <x:v>参考来源</x:v>
      </x:c>
      <x:c r="B17" s="20" t="str">
        <x:v>参考来源</x:v>
      </x:c>
      <x:c r="C17" s="20" t="str">
        <x:v>参考来源</x:v>
      </x:c>
      <x:c r="D17" s="20" t="str">
        <x:v>参考来源</x:v>
      </x:c>
      <x:c r="E17" s="20" t="str">
        <x:v>参考来源</x:v>
      </x:c>
      <x:c r="F17" s="20" t="str">
        <x:v>参考来源</x:v>
      </x:c>
    </x:row>
    <x:row r="18" ht="32" customHeight="1">
      <x:c r="A18" s="10" t="str">
        <x:v>药水规则与掉落</x:v>
      </x:c>
      <x:c r="B18" s="10" t="str">
        <x:v>https://slaythespire.wiki.gg/wiki/Potions</x:v>
      </x:c>
      <x:c r="C18" s="10"/>
      <x:c r="D18" s="10"/>
      <x:c r="E18" s="10"/>
      <x:c r="F18" s="10"/>
    </x:row>
    <x:row r="19" ht="32" customHeight="1">
      <x:c r="A19" s="11" t="str">
        <x:v>完整药水列表与数值</x:v>
      </x:c>
      <x:c r="B19" s="11" t="str">
        <x:v>https://slaythespire.wiki.gg/wiki/Potions_List</x:v>
      </x:c>
      <x:c r="C19" s="11"/>
      <x:c r="D19" s="11"/>
      <x:c r="E19" s="11"/>
      <x:c r="F19" s="11"/>
    </x:row>
    <x:row r="20" ht="32" customHeight="1">
      <x:c r="A20" s="11" t="str">
        <x:v>借鉴边界</x:v>
      </x:c>
      <x:c r="B20" s="11" t="str">
        <x:v>允许直接采用成熟基础药水模板；项目原创集中在灼伤兑现、双属性0费、契灵主动技能恢复。</x:v>
      </x:c>
      <x:c r="C20" s="11"/>
      <x:c r="D20" s="11"/>
      <x:c r="E20" s="11"/>
      <x:c r="F20" s="11"/>
    </x:row>
  </x:sheetData>
  <x:mergeCells>
    <x:mergeCell ref="A1:F2"/>
    <x:mergeCell ref="A17:F17"/>
    <x:mergeCell ref="B18:F18"/>
    <x:mergeCell ref="B19:F19"/>
    <x:mergeCell ref="B20:F20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0" hidden="0" customWidth="1"/>
    <x:col min="3" max="3" width="82" hidden="0" customWidth="1"/>
  </x:cols>
  <x:sheetData>
    <x:row r="1">
      <x:c r="A1" s="16" t="str">
        <x:v>系统规则｜一次性战术道具</x:v>
      </x:c>
      <x:c r="B1" s="16" t="str">
        <x:v>系统规则｜一次性战术道具</x:v>
      </x:c>
      <x:c r="C1" s="16" t="str">
        <x:v>系统规则｜一次性战术道具</x:v>
      </x:c>
    </x:row>
    <x:row r="2">
      <x:c r="A2" s="16" t="str">
        <x:v>系统规则｜一次性战术道具</x:v>
      </x:c>
      <x:c r="B2" s="16" t="str">
        <x:v>系统规则｜一次性战术道具</x:v>
      </x:c>
      <x:c r="C2" s="16" t="str">
        <x:v>系统规则｜一次性战术道具</x:v>
      </x:c>
    </x:row>
    <x:row r="4">
      <x:c r="A4" s="4" t="str">
        <x:v>规则项</x:v>
      </x:c>
      <x:c r="B4" s="4" t="str">
        <x:v>现行值</x:v>
      </x:c>
      <x:c r="C4" s="4" t="str">
        <x:v>执行口径</x:v>
      </x:c>
    </x:row>
    <x:row r="5" ht="46" customHeight="1">
      <x:c r="A5" s="35" t="str">
        <x:v>定位</x:v>
      </x:c>
      <x:c r="B5" s="35" t="str">
        <x:v>一次性战术资源</x:v>
      </x:c>
      <x:c r="C5" s="35" t="str">
        <x:v>使用后从行囊消失；不进入牌组，不占能量，不提供永久被动。</x:v>
      </x:c>
    </x:row>
    <x:row r="6" ht="46" customHeight="1">
      <x:c r="A6" s="13" t="str">
        <x:v>初始栏位</x:v>
      </x:c>
      <x:c r="B6" s="13" t="str">
        <x:v>3格</x:v>
      </x:c>
      <x:c r="C6" s="13" t="str">
        <x:v>对齐尖塔基础栏位；允许携带重复道具。栏位满时必须使用、丢弃、替换或放弃新道具。</x:v>
      </x:c>
    </x:row>
    <x:row r="7" ht="46" customHeight="1">
      <x:c r="A7" s="36" t="str">
        <x:v>使用时机</x:v>
      </x:c>
      <x:c r="B7" s="36" t="str">
        <x:v>默认仅玩家回合</x:v>
      </x:c>
      <x:c r="C7" s="36" t="str">
        <x:v>必须在效果队列为空时使用；标有特殊时机的道具按自身文案。</x:v>
      </x:c>
    </x:row>
    <x:row r="8" ht="46" customHeight="1">
      <x:c r="A8" s="13" t="str">
        <x:v>与出牌关系</x:v>
      </x:c>
      <x:c r="B8" s="13" t="str">
        <x:v>不视为打出牌</x:v>
      </x:c>
      <x:c r="C8" s="13" t="str">
        <x:v>不增加连击数，不触发CARD_PLAYED，不满足猎获；主动技能同样不算道具。</x:v>
      </x:c>
    </x:row>
    <x:row r="9" ht="46" customHeight="1">
      <x:c r="A9" s="36" t="str">
        <x:v>道具伤害</x:v>
      </x:c>
      <x:c r="B9" s="36" t="str">
        <x:v>独立伤害来源</x:v>
      </x:c>
      <x:c r="C9" s="36" t="str">
        <x:v>不受力量和卡牌伤害加成；仍受目标受到伤害倍率与免疫影响。</x:v>
      </x:c>
    </x:row>
    <x:row r="10" ht="46" customHeight="1">
      <x:c r="A10" s="13" t="str">
        <x:v>道具护盾/状态</x:v>
      </x:c>
      <x:c r="B10" s="13" t="str">
        <x:v>照常发通用事件</x:v>
      </x:c>
      <x:c r="C10" s="13" t="str">
        <x:v>BLOCK_GAINED、HP_LOST、STATUS_APPLIED等仍发出，但source=item。</x:v>
      </x:c>
    </x:row>
    <x:row r="11" ht="46" customHeight="1">
      <x:c r="A11" s="36" t="str">
        <x:v>战斗奖励</x:v>
      </x:c>
      <x:c r="B11" s="36" t="str">
        <x:v>章节初始40%</x:v>
      </x:c>
      <x:c r="C11" s="36" t="str">
        <x:v>未掉落时下次+10个百分点；掉落时下次-10个百分点。进入新章节重置为40%。</x:v>
      </x:c>
    </x:row>
    <x:row r="12" ht="46" customHeight="1">
      <x:c r="A12" s="13" t="str">
        <x:v>精英与商店</x:v>
      </x:c>
      <x:c r="B12" s="13" t="str">
        <x:v>精英概率+12.5%；商店2格</x:v>
      </x:c>
      <x:c r="C12" s="13" t="str">
        <x:v>精英仍会推进当前掉落概率；商店每次固定展示2件主池道具。</x:v>
      </x:c>
    </x:row>
    <x:row r="13" ht="46" customHeight="1">
      <x:c r="A13" s="36" t="str">
        <x:v>主池权重</x:v>
      </x:c>
      <x:c r="B13" s="36" t="str">
        <x:v>常见65% / 罕见25% / 稀有10%</x:v>
      </x:c>
      <x:c r="C13" s="36" t="str">
        <x:v>对齐尖塔药水稀有度；事件道具不进入主池。</x:v>
      </x:c>
    </x:row>
    <x:row r="14" ht="46" customHeight="1">
      <x:c r="A14" s="13" t="str">
        <x:v>奖励领取</x:v>
      </x:c>
      <x:c r="B14" s="13" t="str">
        <x:v>掉落1件、直接入栏</x:v>
      </x:c>
      <x:c r="C14" s="13" t="str">
        <x:v>栏位满时打开替换界面；未领取的道具离开节点后消失。</x:v>
      </x:c>
    </x:row>
    <x:row r="15" ht="46" customHeight="1">
      <x:c r="A15" s="36" t="str">
        <x:v>防循环</x:v>
      </x:c>
      <x:c r="B15" s="36" t="str">
        <x:v>is_item_generated=true</x:v>
      </x:c>
      <x:c r="C15" s="36" t="str">
        <x:v>道具衍生效果默认不能再次触发同一件道具，也不恢复已消耗道具。</x:v>
      </x:c>
    </x:row>
    <x:row r="16" ht="46" customHeight="1">
      <x:c r="A16" s="13" t="str">
        <x:v>UI要求</x:v>
      </x:c>
      <x:c r="B16" s="13" t="str">
        <x:v>图标+短文案+合法性提示</x:v>
      </x:c>
      <x:c r="C16" s="13" t="str">
        <x:v>不可使用时置灰并显示原因；影响意图时必须实时预览修改后的数值。</x:v>
      </x:c>
    </x:row>
  </x:sheetData>
  <x:mergeCells>
    <x:mergeCell ref="A1:C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8" hidden="0" customWidth="1"/>
    <x:col min="3" max="3" width="60" hidden="0" customWidth="1"/>
    <x:col min="4" max="4" width="42" hidden="0" customWidth="1"/>
    <x:col min="5" max="5" width="66" hidden="0" customWidth="1"/>
  </x:cols>
  <x:sheetData>
    <x:row r="1">
      <x:c r="A1" s="16" t="str">
        <x:v>结算与事件｜程序实现边界</x:v>
      </x:c>
      <x:c r="B1" s="16" t="str">
        <x:v>结算与事件｜程序实现边界</x:v>
      </x:c>
      <x:c r="C1" s="16" t="str">
        <x:v>结算与事件｜程序实现边界</x:v>
      </x:c>
      <x:c r="D1" s="16" t="str">
        <x:v>结算与事件｜程序实现边界</x:v>
      </x:c>
      <x:c r="E1" s="16" t="str">
        <x:v>结算与事件｜程序实现边界</x:v>
      </x:c>
    </x:row>
    <x:row r="2">
      <x:c r="A2" s="16" t="str">
        <x:v>结算与事件｜程序实现边界</x:v>
      </x:c>
      <x:c r="B2" s="16" t="str">
        <x:v>结算与事件｜程序实现边界</x:v>
      </x:c>
      <x:c r="C2" s="16" t="str">
        <x:v>结算与事件｜程序实现边界</x:v>
      </x:c>
      <x:c r="D2" s="16" t="str">
        <x:v>结算与事件｜程序实现边界</x:v>
      </x:c>
      <x:c r="E2" s="16" t="str">
        <x:v>结算与事件｜程序实现边界</x:v>
      </x:c>
    </x:row>
    <x:row r="4">
      <x:c r="A4" s="4" t="str">
        <x:v>事件ID</x:v>
      </x:c>
      <x:c r="B4" s="4" t="str">
        <x:v>默认时机</x:v>
      </x:c>
      <x:c r="C4" s="4" t="str">
        <x:v>必须携带字段</x:v>
      </x:c>
      <x:c r="D4" s="4" t="str">
        <x:v>使用道具</x:v>
      </x:c>
      <x:c r="E4" s="4" t="str">
        <x:v>规则备注</x:v>
      </x:c>
    </x:row>
    <x:row r="5" ht="54" customHeight="1">
      <x:c r="A5" s="35" t="str">
        <x:v>ITEM_USED</x:v>
      </x:c>
      <x:c r="B5" s="35" t="str">
        <x:v>道具效果入队前</x:v>
      </x:c>
      <x:c r="C5" s="35" t="str">
        <x:v>item_id、item_rarity、targets、usage_context</x:v>
      </x:c>
      <x:c r="D5" s="35" t="str">
        <x:v>所有道具</x:v>
      </x:c>
      <x:c r="E5" s="35" t="str">
        <x:v>先消耗库存中的实例，再结算效果；回滚不能恢复实例。</x:v>
      </x:c>
    </x:row>
    <x:row r="6" ht="54" customHeight="1">
      <x:c r="A6" s="13" t="str">
        <x:v>INTENT_MODIFIED</x:v>
      </x:c>
      <x:c r="B6" s="13" t="str">
        <x:v>意图数值改写后</x:v>
      </x:c>
      <x:c r="C6" s="13" t="str">
        <x:v>enemy_id、intent_id、before、after、source</x:v>
      </x:c>
      <x:c r="D6" s="13" t="str">
        <x:v>T019</x:v>
      </x:c>
      <x:c r="E6" s="13" t="str">
        <x:v>攻击意图伤害预览刷新为0；非攻击部分保持原样。</x:v>
      </x:c>
    </x:row>
    <x:row r="7" ht="54" customHeight="1">
      <x:c r="A7" s="36" t="str">
        <x:v>CARD_MOVED</x:v>
      </x:c>
      <x:c r="B7" s="36" t="str">
        <x:v>每张牌移动完成时</x:v>
      </x:c>
      <x:c r="C7" s="36" t="str">
        <x:v>from_zone、to_zone、move_reason、source</x:v>
      </x:c>
      <x:c r="D7" s="36" t="str">
        <x:v>T010/T011/T014/T023</x:v>
      </x:c>
      <x:c r="E7" s="36" t="str">
        <x:v>弃牌、消耗、回收和事件移出均使用既有牌区事件。</x:v>
      </x:c>
    </x:row>
    <x:row r="8" ht="54" customHeight="1">
      <x:c r="A8" s="13" t="str">
        <x:v>CARD_PLAYED</x:v>
      </x:c>
      <x:c r="B8" s="13" t="str">
        <x:v>牌正文完成后</x:v>
      </x:c>
      <x:c r="C8" s="13" t="str">
        <x:v>card_id、card_category、elements、origin、final_cost</x:v>
      </x:c>
      <x:c r="D8" s="13" t="str">
        <x:v>T013/T016/T017</x:v>
      </x:c>
      <x:c r="E8" s="13" t="str">
        <x:v>道具本身不发CARD_PLAYED；只监听后续真正打出的牌。</x:v>
      </x:c>
    </x:row>
    <x:row r="9" ht="54" customHeight="1">
      <x:c r="A9" s="36" t="str">
        <x:v>TURN_END</x:v>
      </x:c>
      <x:c r="B9" s="36" t="str">
        <x:v>弃牌前</x:v>
      </x:c>
      <x:c r="C9" s="36" t="str">
        <x:v>pending_item_effects</x:v>
      </x:c>
      <x:c r="D9" s="36" t="str">
        <x:v>T017/T019</x:v>
      </x:c>
      <x:c r="E9" s="36" t="str">
        <x:v>清除临时力量与攻击免疫。</x:v>
      </x:c>
    </x:row>
    <x:row r="10" ht="54" customHeight="1">
      <x:c r="A10" s="13" t="str">
        <x:v>LETHAL_DAMAGE_PENDING</x:v>
      </x:c>
      <x:c r="B10" s="13" t="str">
        <x:v>死亡检查前</x:v>
      </x:c>
      <x:c r="C10" s="13" t="str">
        <x:v>incoming_damage、hp_before、source</x:v>
      </x:c>
      <x:c r="D10" s="13" t="str">
        <x:v>T020</x:v>
      </x:c>
      <x:c r="E10" s="13" t="str">
        <x:v>若携带逆命露则自动消耗并把生命设为30%最大生命。</x:v>
      </x:c>
    </x:row>
    <x:row r="11" ht="54" customHeight="1">
      <x:c r="A11" s="36" t="str">
        <x:v>ACTIVE_SKILL_USED</x:v>
      </x:c>
      <x:c r="B11" s="36" t="str">
        <x:v>契灵主动技能结算后</x:v>
      </x:c>
      <x:c r="C11" s="36" t="str">
        <x:v>spirit_id、skill_id、consumed</x:v>
      </x:c>
      <x:c r="D11" s="36" t="str">
        <x:v>T022</x:v>
      </x:c>
      <x:c r="E11" s="36" t="str">
        <x:v>已使用的主动技能进入可恢复列表。</x:v>
      </x:c>
    </x:row>
    <x:row r="12" ht="54" customHeight="1">
      <x:c r="A12" s="13" t="str">
        <x:v>COMBAT_SNAPSHOT</x:v>
      </x:c>
      <x:c r="B12" s="13" t="str">
        <x:v>玩家回合开始完成后</x:v>
      </x:c>
      <x:c r="C12" s="13" t="str">
        <x:v>完整战场可序列化快照、rng_cursor</x:v>
      </x:c>
      <x:c r="D12" s="13" t="str">
        <x:v>T024</x:v>
      </x:c>
      <x:c r="E12" s="13" t="str">
        <x:v>不包含道具库存；回滚时使用新随机种子。</x:v>
      </x:c>
    </x:row>
    <x:row r="13" ht="54" customHeight="1">
      <x:c r="A13" s="36" t="str">
        <x:v>COMBAT_END</x:v>
      </x:c>
      <x:c r="B13" s="36" t="str">
        <x:v>胜负确定后</x:v>
      </x:c>
      <x:c r="C13" s="36" t="str">
        <x:v>result、sealed_upgrade_card_id</x:v>
      </x:c>
      <x:c r="D13" s="36" t="str">
        <x:v>T023</x:v>
      </x:c>
      <x:c r="E13" s="36" t="str">
        <x:v>只有胜利才永久升级，其他结果只返还原牌。</x:v>
      </x:c>
    </x:row>
    <x:row r="14" ht="54" customHeight="1">
      <x:c r="A14" s="13" t="str">
        <x:v>ITEM_REWARD_ROLL</x:v>
      </x:c>
      <x:c r="B14" s="13" t="str">
        <x:v>战斗奖励生成时</x:v>
      </x:c>
      <x:c r="C14" s="13" t="str">
        <x:v>base_rate、pity_delta、combat_type</x:v>
      </x:c>
      <x:c r="D14" s="13" t="str">
        <x:v>主池掉落</x:v>
      </x:c>
      <x:c r="E14" s="13" t="str">
        <x:v>章节初始40%；成功-10%、失败+10%；精英在当前概率上+12.5%。</x:v>
      </x:c>
    </x:row>
  </x:sheetData>
  <x:mergeCells>
    <x:mergeCell ref="A1:E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4" hidden="0" customWidth="1"/>
    <x:col min="3" max="3" width="12" hidden="0" customWidth="1"/>
    <x:col min="4" max="4" width="10" hidden="0" customWidth="1"/>
    <x:col min="5" max="5" width="18" hidden="0" customWidth="1"/>
    <x:col min="6" max="6" width="10" hidden="0" customWidth="1"/>
    <x:col min="7" max="7" width="68" hidden="0" customWidth="1"/>
    <x:col min="8" max="8" width="10" hidden="0" customWidth="1"/>
    <x:col min="9" max="9" width="15" hidden="0" customWidth="1"/>
  </x:cols>
  <x:sheetData>
    <x:row r="1">
      <x:c r="A1" s="4" t="str">
        <x:v>ID</x:v>
      </x:c>
      <x:c r="B1" s="4" t="str">
        <x:v>名称</x:v>
      </x:c>
      <x:c r="C1" s="4" t="str">
        <x:v>形态</x:v>
      </x:c>
      <x:c r="D1" s="4" t="str">
        <x:v>稀有度</x:v>
      </x:c>
      <x:c r="E1" s="4" t="str">
        <x:v>参考母题</x:v>
      </x:c>
      <x:c r="F1" s="4" t="str">
        <x:v>同构风险</x:v>
      </x:c>
      <x:c r="G1" s="4" t="str">
        <x:v>关键差异</x:v>
      </x:c>
      <x:c r="H1" s="4" t="str">
        <x:v>开发阶段</x:v>
      </x:c>
      <x:c r="I1" s="4" t="str">
        <x:v>裁定</x:v>
      </x:c>
    </x:row>
    <x:row r="2" ht="50" customHeight="1">
      <x:c r="A2" s="12" t="str">
        <x:v>T001</x:v>
      </x:c>
      <x:c r="B2" s="12" t="str">
        <x:v>赤芯爆弹</x:v>
      </x:c>
      <x:c r="C2" s="12" t="str">
        <x:v>投掷物</x:v>
      </x:c>
      <x:c r="D2" s="12" t="str">
        <x:v>常见</x:v>
      </x:c>
      <x:c r="E2" s="12" t="str">
        <x:v>单体伤害</x:v>
      </x:c>
      <x:c r="F2" s="12" t="str">
        <x:v>低</x:v>
      </x:c>
      <x:c r="G2" s="12" t="str">
        <x:v>以尖塔20单体伤害为底，负面状态牌组可上浮到25，但不需要复杂计数。</x:v>
      </x:c>
      <x:c r="H2" s="12" t="str">
        <x:v>MVP</x:v>
      </x:c>
      <x:c r="I2" s="12" t="str">
        <x:v>进入候选池</x:v>
      </x:c>
    </x:row>
    <x:row r="3" ht="50" customHeight="1">
      <x:c r="A3" s="13" t="str">
        <x:v>T002</x:v>
      </x:c>
      <x:c r="B3" s="13" t="str">
        <x:v>霜壳药膏</x:v>
      </x:c>
      <x:c r="C3" s="13" t="str">
        <x:v>药剂</x:v>
      </x:c>
      <x:c r="D3" s="13" t="str">
        <x:v>常见</x:v>
      </x:c>
      <x:c r="E3" s="13" t="str">
        <x:v>护盾</x:v>
      </x:c>
      <x:c r="F3" s="13" t="str">
        <x:v>低</x:v>
      </x:c>
      <x:c r="G3" s="13" t="str">
        <x:v>以尖塔12护盾为底，空盾使用提升到16，强化救急窗口。</x:v>
      </x:c>
      <x:c r="H3" s="13" t="str">
        <x:v>MVP</x:v>
      </x:c>
      <x:c r="I3" s="13" t="str">
        <x:v>进入候选池</x:v>
      </x:c>
    </x:row>
    <x:row r="4" ht="50" customHeight="1">
      <x:c r="A4" s="14" t="str">
        <x:v>T003</x:v>
      </x:c>
      <x:c r="B4" s="14" t="str">
        <x:v>疾风灵露</x:v>
      </x:c>
      <x:c r="C4" s="14" t="str">
        <x:v>药剂</x:v>
      </x:c>
      <x:c r="D4" s="14" t="str">
        <x:v>常见</x:v>
      </x:c>
      <x:c r="E4" s="14" t="str">
        <x:v>抽牌</x:v>
      </x:c>
      <x:c r="F4" s="14" t="str">
        <x:v>低</x:v>
      </x:c>
      <x:c r="G4" s="14" t="str">
        <x:v>保留成熟的抽3基准；纯功能药水无需强行添加花活。</x:v>
      </x:c>
      <x:c r="H4" s="14" t="str">
        <x:v>MVP</x:v>
      </x:c>
      <x:c r="I4" s="14" t="str">
        <x:v>进入候选池</x:v>
      </x:c>
    </x:row>
    <x:row r="5" ht="50" customHeight="1">
      <x:c r="A5" s="13" t="str">
        <x:v>T004</x:v>
      </x:c>
      <x:c r="B5" s="13" t="str">
        <x:v>过载针</x:v>
      </x:c>
      <x:c r="C5" s="13" t="str">
        <x:v>药剂</x:v>
      </x:c>
      <x:c r="D5" s="13" t="str">
        <x:v>常见</x:v>
      </x:c>
      <x:c r="E5" s="13" t="str">
        <x:v>能量</x:v>
      </x:c>
      <x:c r="F5" s="13" t="str">
        <x:v>低</x:v>
      </x:c>
      <x:c r="G5" s="13" t="str">
        <x:v>保留成熟的2能量基准；让玩家在关键回合直接展开。</x:v>
      </x:c>
      <x:c r="H5" s="13" t="str">
        <x:v>MVP</x:v>
      </x:c>
      <x:c r="I5" s="13" t="str">
        <x:v>进入候选池</x:v>
      </x:c>
    </x:row>
    <x:row r="6" ht="50" customHeight="1">
      <x:c r="A6" s="14" t="str">
        <x:v>T005</x:v>
      </x:c>
      <x:c r="B6" s="14" t="str">
        <x:v>回温血清</x:v>
      </x:c>
      <x:c r="C6" s="14" t="str">
        <x:v>药剂</x:v>
      </x:c>
      <x:c r="D6" s="14" t="str">
        <x:v>常见</x:v>
      </x:c>
      <x:c r="E6" s="14" t="str">
        <x:v>回复</x:v>
      </x:c>
      <x:c r="F6" s="14" t="str">
        <x:v>低</x:v>
      </x:c>
      <x:c r="G6" s="14" t="str">
        <x:v>按尖塔血药20%最大生命定价，适配本项目80生命基准。</x:v>
      </x:c>
      <x:c r="H6" s="14" t="str">
        <x:v>MVP</x:v>
      </x:c>
      <x:c r="I6" s="14" t="str">
        <x:v>进入候选池</x:v>
      </x:c>
    </x:row>
    <x:row r="7" ht="50" customHeight="1">
      <x:c r="A7" s="13" t="str">
        <x:v>T006</x:v>
      </x:c>
      <x:c r="B7" s="13" t="str">
        <x:v>震荡粉</x:v>
      </x:c>
      <x:c r="C7" s="13" t="str">
        <x:v>投掷物</x:v>
      </x:c>
      <x:c r="D7" s="13" t="str">
        <x:v>常见</x:v>
      </x:c>
      <x:c r="E7" s="13" t="str">
        <x:v>虚弱</x:v>
      </x:c>
      <x:c r="F7" s="13" t="str">
        <x:v>低</x:v>
      </x:c>
      <x:c r="G7" s="13" t="str">
        <x:v>沿用3回合虚弱的成熟控制尺度；虚弱固定降低25%攻击伤害。</x:v>
      </x:c>
      <x:c r="H7" s="13" t="str">
        <x:v>MVP</x:v>
      </x:c>
      <x:c r="I7" s="13" t="str">
        <x:v>进入候选池</x:v>
      </x:c>
    </x:row>
    <x:row r="8" ht="50" customHeight="1">
      <x:c r="A8" s="14" t="str">
        <x:v>T007</x:v>
      </x:c>
      <x:c r="B8" s="14" t="str">
        <x:v>爆裂雷管</x:v>
      </x:c>
      <x:c r="C8" s="14" t="str">
        <x:v>投掷物</x:v>
      </x:c>
      <x:c r="D8" s="14" t="str">
        <x:v>常见</x:v>
      </x:c>
      <x:c r="E8" s="14" t="str">
        <x:v>群体伤害</x:v>
      </x:c>
      <x:c r="F8" s="14" t="str">
        <x:v>低</x:v>
      </x:c>
      <x:c r="G8" s="14" t="str">
        <x:v>保留10群伤基准，用于清杂和补斩杀。</x:v>
      </x:c>
      <x:c r="H8" s="14" t="str">
        <x:v>MVP</x:v>
      </x:c>
      <x:c r="I8" s="14" t="str">
        <x:v>进入候选池</x:v>
      </x:c>
    </x:row>
    <x:row r="9" ht="50" customHeight="1">
      <x:c r="A9" s="13" t="str">
        <x:v>T008</x:v>
      </x:c>
      <x:c r="B9" s="13" t="str">
        <x:v>锻造油</x:v>
      </x:c>
      <x:c r="C9" s="13" t="str">
        <x:v>药剂</x:v>
      </x:c>
      <x:c r="D9" s="13" t="str">
        <x:v>常见</x:v>
      </x:c>
      <x:c r="E9" s="13" t="str">
        <x:v>手牌升级</x:v>
      </x:c>
      <x:c r="F9" s="13" t="str">
        <x:v>低</x:v>
      </x:c>
      <x:c r="G9" s="13" t="str">
        <x:v>沿用战斗内全手升级，价值由使用时手牌数量决定。</x:v>
      </x:c>
      <x:c r="H9" s="13" t="str">
        <x:v>MVP</x:v>
      </x:c>
      <x:c r="I9" s="13" t="str">
        <x:v>进入候选池</x:v>
      </x:c>
    </x:row>
    <x:row r="10" ht="50" customHeight="1">
      <x:c r="A10" s="14" t="str">
        <x:v>T009</x:v>
      </x:c>
      <x:c r="B10" s="14" t="str">
        <x:v>棱镜瓶</x:v>
      </x:c>
      <x:c r="C10" s="14" t="str">
        <x:v>药剂</x:v>
      </x:c>
      <x:c r="D10" s="14" t="str">
        <x:v>常见</x:v>
      </x:c>
      <x:c r="E10" s="14" t="str">
        <x:v>临时造牌</x:v>
      </x:c>
      <x:c r="F10" s="14" t="str">
        <x:v>中</x:v>
      </x:c>
      <x:c r="G10" s="14" t="str">
        <x:v>沿用三选一0费临时牌，但候选限定为本局双属性。</x:v>
      </x:c>
      <x:c r="H10" s="14" t="str">
        <x:v>后续</x:v>
      </x:c>
      <x:c r="I10" s="14" t="str">
        <x:v>进入候选池</x:v>
      </x:c>
    </x:row>
    <x:row r="11" ht="50" customHeight="1">
      <x:c r="A11" s="13" t="str">
        <x:v>T010</x:v>
      </x:c>
      <x:c r="B11" s="13" t="str">
        <x:v>洗牌盐</x:v>
      </x:c>
      <x:c r="C11" s="13" t="str">
        <x:v>药剂</x:v>
      </x:c>
      <x:c r="D11" s="13" t="str">
        <x:v>常见</x:v>
      </x:c>
      <x:c r="E11" s="13" t="str">
        <x:v>换手</x:v>
      </x:c>
      <x:c r="F11" s="13" t="str">
        <x:v>低</x:v>
      </x:c>
      <x:c r="G11" s="13" t="str">
        <x:v>沿用任意换手模板，提供稳定的坏手修正。</x:v>
      </x:c>
      <x:c r="H11" s="13" t="str">
        <x:v>MVP</x:v>
      </x:c>
      <x:c r="I11" s="13" t="str">
        <x:v>进入候选池</x:v>
      </x:c>
    </x:row>
    <x:row r="12" ht="50" customHeight="1">
      <x:c r="A12" s="14" t="str">
        <x:v>T011</x:v>
      </x:c>
      <x:c r="B12" s="14" t="str">
        <x:v>断契钳</x:v>
      </x:c>
      <x:c r="C12" s="14" t="str">
        <x:v>工具</x:v>
      </x:c>
      <x:c r="D12" s="14" t="str">
        <x:v>罕见</x:v>
      </x:c>
      <x:c r="E12" s="14" t="str">
        <x:v>消耗/能量</x:v>
      </x:c>
      <x:c r="F12" s="14" t="str">
        <x:v>低</x:v>
      </x:c>
      <x:c r="G12" s="14" t="str">
        <x:v>消耗任意手牌并按每2张返能过牌，直接服务焚毁体系。</x:v>
      </x:c>
      <x:c r="H12" s="14" t="str">
        <x:v>MVP</x:v>
      </x:c>
      <x:c r="I12" s="14" t="str">
        <x:v>进入候选池</x:v>
      </x:c>
    </x:row>
    <x:row r="13" ht="50" customHeight="1">
      <x:c r="A13" s="13" t="str">
        <x:v>T012</x:v>
      </x:c>
      <x:c r="B13" s="13" t="str">
        <x:v>催燃剂</x:v>
      </x:c>
      <x:c r="C13" s="13" t="str">
        <x:v>投掷物</x:v>
      </x:c>
      <x:c r="D13" s="13" t="str">
        <x:v>罕见</x:v>
      </x:c>
      <x:c r="E13" s="13" t="str">
        <x:v>状态爆发</x:v>
      </x:c>
      <x:c r="F13" s="13" t="str">
        <x:v>低</x:v>
      </x:c>
      <x:c r="G13" s="13" t="str">
        <x:v>把项目独有的持续伤害状态一次兑现3次，数值高但需要构筑前置。</x:v>
      </x:c>
      <x:c r="H13" s="13" t="str">
        <x:v>MVP</x:v>
      </x:c>
      <x:c r="I13" s="13" t="str">
        <x:v>进入候选池</x:v>
      </x:c>
    </x:row>
    <x:row r="14" ht="50" customHeight="1">
      <x:c r="A14" s="14" t="str">
        <x:v>T013</x:v>
      </x:c>
      <x:c r="B14" s="14" t="str">
        <x:v>回声瓶</x:v>
      </x:c>
      <x:c r="C14" s="14" t="str">
        <x:v>药剂</x:v>
      </x:c>
      <x:c r="D14" s="14" t="str">
        <x:v>罕见</x:v>
      </x:c>
      <x:c r="E14" s="14" t="str">
        <x:v>复制</x:v>
      </x:c>
      <x:c r="F14" s="14" t="str">
        <x:v>中</x:v>
      </x:c>
      <x:c r="G14" s="14" t="str">
        <x:v>采用成熟的下一张牌结算两次，保证罕见道具有明确爆发感。</x:v>
      </x:c>
      <x:c r="H14" s="14" t="str">
        <x:v>MVP</x:v>
      </x:c>
      <x:c r="I14" s="14" t="str">
        <x:v>进入候选池</x:v>
      </x:c>
    </x:row>
    <x:row r="15" ht="50" customHeight="1">
      <x:c r="A15" s="13" t="str">
        <x:v>T014</x:v>
      </x:c>
      <x:c r="B15" s="13" t="str">
        <x:v>记忆露</x:v>
      </x:c>
      <x:c r="C15" s="13" t="str">
        <x:v>药剂</x:v>
      </x:c>
      <x:c r="D15" s="13" t="str">
        <x:v>罕见</x:v>
      </x:c>
      <x:c r="E15" s="13" t="str">
        <x:v>弃牌回收</x:v>
      </x:c>
      <x:c r="F15" s="13" t="str">
        <x:v>中</x:v>
      </x:c>
      <x:c r="G15" s="13" t="str">
        <x:v>采用成熟的弃牌堆定向回收并变0费，属于高价值战术药水。</x:v>
      </x:c>
      <x:c r="H15" s="13" t="str">
        <x:v>MVP</x:v>
      </x:c>
      <x:c r="I15" s="13" t="str">
        <x:v>进入候选池</x:v>
      </x:c>
    </x:row>
    <x:row r="16" ht="50" customHeight="1">
      <x:c r="A16" s="14" t="str">
        <x:v>T015</x:v>
      </x:c>
      <x:c r="B16" s="14" t="str">
        <x:v>冻存胶</x:v>
      </x:c>
      <x:c r="C16" s="14" t="str">
        <x:v>药剂</x:v>
      </x:c>
      <x:c r="D16" s="14" t="str">
        <x:v>罕见</x:v>
      </x:c>
      <x:c r="E16" s="14" t="str">
        <x:v>留存护盾</x:v>
      </x:c>
      <x:c r="F16" s="14" t="str">
        <x:v>低</x:v>
      </x:c>
      <x:c r="G16" s="14" t="str">
        <x:v>在12护盾基准上提高到15，并附带一次跨回合留存。</x:v>
      </x:c>
      <x:c r="H16" s="14" t="str">
        <x:v>MVP</x:v>
      </x:c>
      <x:c r="I16" s="14" t="str">
        <x:v>进入候选池</x:v>
      </x:c>
    </x:row>
    <x:row r="17" ht="50" customHeight="1">
      <x:c r="A17" s="13" t="str">
        <x:v>T016</x:v>
      </x:c>
      <x:c r="B17" s="13" t="str">
        <x:v>双相安瓿</x:v>
      </x:c>
      <x:c r="C17" s="13" t="str">
        <x:v>药剂</x:v>
      </x:c>
      <x:c r="D17" s="13" t="str">
        <x:v>罕见</x:v>
      </x:c>
      <x:c r="E17" s="13" t="str">
        <x:v>双属性减费</x:v>
      </x:c>
      <x:c r="F17" s="13" t="str">
        <x:v>中</x:v>
      </x:c>
      <x:c r="G17" s="13" t="str">
        <x:v>两张不同属性牌同时变0费，明确服务本项目双属性轮换。</x:v>
      </x:c>
      <x:c r="H17" s="13" t="str">
        <x:v>后续</x:v>
      </x:c>
      <x:c r="I17" s="13" t="str">
        <x:v>进入候选池</x:v>
      </x:c>
    </x:row>
    <x:row r="18" ht="50" customHeight="1">
      <x:c r="A18" s="14" t="str">
        <x:v>T017</x:v>
      </x:c>
      <x:c r="B18" s="14" t="str">
        <x:v>聚力酊</x:v>
      </x:c>
      <x:c r="C18" s="14" t="str">
        <x:v>药剂</x:v>
      </x:c>
      <x:c r="D18" s="14" t="str">
        <x:v>罕见</x:v>
      </x:c>
      <x:c r="E18" s="14" t="str">
        <x:v>临时力量</x:v>
      </x:c>
      <x:c r="F18" s="14" t="str">
        <x:v>低</x:v>
      </x:c>
      <x:c r="G18" s="14" t="str">
        <x:v>对齐尖塔5点临时力量，提供多段和连击回合的爆发。</x:v>
      </x:c>
      <x:c r="H18" s="14" t="str">
        <x:v>MVP</x:v>
      </x:c>
      <x:c r="I18" s="14" t="str">
        <x:v>进入候选池</x:v>
      </x:c>
    </x:row>
    <x:row r="19" ht="50" customHeight="1">
      <x:c r="A19" s="13" t="str">
        <x:v>T018</x:v>
      </x:c>
      <x:c r="B19" s="13" t="str">
        <x:v>状态磁瓶</x:v>
      </x:c>
      <x:c r="C19" s="13" t="str">
        <x:v>投掷物</x:v>
      </x:c>
      <x:c r="D19" s="13" t="str">
        <x:v>罕见</x:v>
      </x:c>
      <x:c r="E19" s="13" t="str">
        <x:v>状态转移</x:v>
      </x:c>
      <x:c r="F19" s="13" t="str">
        <x:v>低</x:v>
      </x:c>
      <x:c r="G19" s="13" t="str">
        <x:v>整包转移状态并额外结算一次，保留总层数但大幅提高群怪调度价值。</x:v>
      </x:c>
      <x:c r="H19" s="13" t="str">
        <x:v>后续</x:v>
      </x:c>
      <x:c r="I19" s="13" t="str">
        <x:v>进入候选池</x:v>
      </x:c>
    </x:row>
    <x:row r="20" ht="50" customHeight="1">
      <x:c r="A20" s="14" t="str">
        <x:v>T019</x:v>
      </x:c>
      <x:c r="B20" s="14" t="str">
        <x:v>静止钟</x:v>
      </x:c>
      <x:c r="C20" s="14" t="str">
        <x:v>封装物</x:v>
      </x:c>
      <x:c r="D20" s="14" t="str">
        <x:v>稀有</x:v>
      </x:c>
      <x:c r="E20" s="14" t="str">
        <x:v>攻击免疫</x:v>
      </x:c>
      <x:c r="F20" s="14" t="str">
        <x:v>低</x:v>
      </x:c>
      <x:c r="G20" s="14" t="str">
        <x:v>提供整回合攻击免疫，但不阻止强化、召唤和状态，保留Boss行动。</x:v>
      </x:c>
      <x:c r="H20" s="14" t="str">
        <x:v>后续</x:v>
      </x:c>
      <x:c r="I20" s="14" t="str">
        <x:v>进入候选池</x:v>
      </x:c>
    </x:row>
    <x:row r="21" ht="50" customHeight="1">
      <x:c r="A21" s="13" t="str">
        <x:v>T020</x:v>
      </x:c>
      <x:c r="B21" s="13" t="str">
        <x:v>逆命露</x:v>
      </x:c>
      <x:c r="C21" s="13" t="str">
        <x:v>药剂</x:v>
      </x:c>
      <x:c r="D21" s="13" t="str">
        <x:v>稀有</x:v>
      </x:c>
      <x:c r="E21" s="13" t="str">
        <x:v>复活</x:v>
      </x:c>
      <x:c r="F21" s="13" t="str">
        <x:v>中</x:v>
      </x:c>
      <x:c r="G21" s="13" t="str">
        <x:v>按30%最大生命复活的成熟尺度实现栏位型保险。</x:v>
      </x:c>
      <x:c r="H21" s="13" t="str">
        <x:v>后续</x:v>
      </x:c>
      <x:c r="I21" s="13" t="str">
        <x:v>进入候选池</x:v>
      </x:c>
    </x:row>
    <x:row r="22" ht="50" customHeight="1">
      <x:c r="A22" s="14" t="str">
        <x:v>T021</x:v>
      </x:c>
      <x:c r="B22" s="14" t="str">
        <x:v>万象酿</x:v>
      </x:c>
      <x:c r="C22" s="14" t="str">
        <x:v>药剂</x:v>
      </x:c>
      <x:c r="D22" s="14" t="str">
        <x:v>稀有</x:v>
      </x:c>
      <x:c r="E22" s="14" t="str">
        <x:v>补满栏位</x:v>
      </x:c>
      <x:c r="F22" s="14" t="str">
        <x:v>中</x:v>
      </x:c>
      <x:c r="G22" s="14" t="str">
        <x:v>参考熵酿填满空栏，重新制造即时道具选择。</x:v>
      </x:c>
      <x:c r="H22" s="14" t="str">
        <x:v>后续</x:v>
      </x:c>
      <x:c r="I22" s="14" t="str">
        <x:v>进入候选池</x:v>
      </x:c>
    </x:row>
    <x:row r="23" ht="50" customHeight="1">
      <x:c r="A23" s="13" t="str">
        <x:v>T022</x:v>
      </x:c>
      <x:c r="B23" s="13" t="str">
        <x:v>契灵激素</x:v>
      </x:c>
      <x:c r="C23" s="13" t="str">
        <x:v>药剂</x:v>
      </x:c>
      <x:c r="D23" s="13" t="str">
        <x:v>稀有</x:v>
      </x:c>
      <x:c r="E23" s="13" t="str">
        <x:v>主动技能恢复</x:v>
      </x:c>
      <x:c r="F23" s="13" t="str">
        <x:v>低</x:v>
      </x:c>
      <x:c r="G23" s="13" t="str">
        <x:v>恢复契灵主动技能，是本项目专属且足够稀有的强效果。</x:v>
      </x:c>
      <x:c r="H23" s="13" t="str">
        <x:v>后续</x:v>
      </x:c>
      <x:c r="I23" s="13" t="str">
        <x:v>进入候选池</x:v>
      </x:c>
    </x:row>
    <x:row r="24" ht="50" customHeight="1">
      <x:c r="A24" s="14" t="str">
        <x:v>T023</x:v>
      </x:c>
      <x:c r="B24" s="14" t="str">
        <x:v>终页种荚</x:v>
      </x:c>
      <x:c r="C24" s="14" t="str">
        <x:v>事件道具</x:v>
      </x:c>
      <x:c r="D24" s="14" t="str">
        <x:v>专属</x:v>
      </x:c>
      <x:c r="E24" s="14" t="str">
        <x:v>战斗换成长</x:v>
      </x:c>
      <x:c r="F24" s="14" t="str">
        <x:v>低</x:v>
      </x:c>
      <x:c r="G24" s="14" t="str">
        <x:v>把一张手牌移出当前战斗作为永久升级代价。</x:v>
      </x:c>
      <x:c r="H24" s="14" t="str">
        <x:v>后续</x:v>
      </x:c>
      <x:c r="I24" s="14" t="str">
        <x:v>进入候选池</x:v>
      </x:c>
    </x:row>
    <x:row r="25" ht="50" customHeight="1">
      <x:c r="A25" s="13" t="str">
        <x:v>T024</x:v>
      </x:c>
      <x:c r="B25" s="13" t="str">
        <x:v>逆流封条</x:v>
      </x:c>
      <x:c r="C25" s="13" t="str">
        <x:v>事件道具</x:v>
      </x:c>
      <x:c r="D25" s="13" t="str">
        <x:v>专属</x:v>
      </x:c>
      <x:c r="E25" s="13" t="str">
        <x:v>回合回滚</x:v>
      </x:c>
      <x:c r="F25" s="13" t="str">
        <x:v>低</x:v>
      </x:c>
      <x:c r="G25" s="13" t="str">
        <x:v>回滚完整回合但不返还自身，提供事件级纠错能力。</x:v>
      </x:c>
      <x:c r="H25" s="13" t="str">
        <x:v>后续</x:v>
      </x:c>
      <x:c r="I25" s="13" t="str">
        <x:v>进入候选池</x:v>
      </x:c>
    </x:row>
  </x:sheetData>
  <x:conditionalFormatting sqref="F2:F25">
    <x:cfRule type="containsText" dxfId="4" priority="1" operator="containsText" text="中"/>
  </x:conditionalFormatting>
  <x:conditionalFormatting sqref="I2:I25">
    <x:cfRule type="containsText" dxfId="5" priority="2" operator="containsText" text="进入候选池"/>
  </x:conditionalFormatting>
  <x:pageMargins left="0.7" right="0.7" top="0.75" bottom="0.75" header="0.3" footer="0.3"/>
  <x:tableParts count="1">
    <x:tablePart xmlns:r="http://schemas.openxmlformats.org/officeDocument/2006/relationships" r:id="Re2f9a7791e93483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70" hidden="0" customWidth="1"/>
    <x:col min="3" max="3" width="62" hidden="0" customWidth="1"/>
    <x:col min="4" max="4" width="68" hidden="0" customWidth="1"/>
  </x:cols>
  <x:sheetData>
    <x:row r="1">
      <x:c r="A1" s="16" t="str">
        <x:v>首轮试玩包｜验证玩家会不会真正把道具用掉</x:v>
      </x:c>
      <x:c r="B1" s="16" t="str">
        <x:v>首轮试玩包｜验证玩家会不会真正把道具用掉</x:v>
      </x:c>
      <x:c r="C1" s="16" t="str">
        <x:v>首轮试玩包｜验证玩家会不会真正把道具用掉</x:v>
      </x:c>
      <x:c r="D1" s="16" t="str">
        <x:v>首轮试玩包｜验证玩家会不会真正把道具用掉</x:v>
      </x:c>
    </x:row>
    <x:row r="2">
      <x:c r="A2" s="16" t="str">
        <x:v>首轮试玩包｜验证玩家会不会真正把道具用掉</x:v>
      </x:c>
      <x:c r="B2" s="16" t="str">
        <x:v>首轮试玩包｜验证玩家会不会真正把道具用掉</x:v>
      </x:c>
      <x:c r="C2" s="16" t="str">
        <x:v>首轮试玩包｜验证玩家会不会真正把道具用掉</x:v>
      </x:c>
      <x:c r="D2" s="16" t="str">
        <x:v>首轮试玩包｜验证玩家会不会真正把道具用掉</x:v>
      </x:c>
    </x:row>
    <x:row r="4">
      <x:c r="A4" s="4" t="str">
        <x:v>测试包</x:v>
      </x:c>
      <x:c r="B4" s="4" t="str">
        <x:v>固定道具</x:v>
      </x:c>
      <x:c r="C4" s="4" t="str">
        <x:v>目标</x:v>
      </x:c>
      <x:c r="D4" s="4" t="str">
        <x:v>必记数据</x:v>
      </x:c>
    </x:row>
    <x:row r="5" ht="70" customHeight="1">
      <x:c r="A5" s="35" t="str">
        <x:v>A｜尖塔基准包</x:v>
      </x:c>
      <x:c r="B5" s="35" t="str">
        <x:v>T001 赤芯爆弹、T002 霜壳药膏、T003 疾风灵露、T004 过载针</x:v>
      </x:c>
      <x:c r="C5" s="35" t="str">
        <x:v>验证20伤、12–16盾、抽3、2能量在本项目中的真实救场率。</x:v>
      </x:c>
      <x:c r="D5" s="35" t="str">
        <x:v>使用率、节省生命、完成斩杀次数、最终未使用数量、对照尖塔基准偏差</x:v>
      </x:c>
    </x:row>
    <x:row r="6" ht="70" customHeight="1">
      <x:c r="A6" s="13" t="str">
        <x:v>B｜手牌爆发包</x:v>
      </x:c>
      <x:c r="B6" s="13" t="str">
        <x:v>T008 锻造油、T010 洗牌盐、T013 回声瓶、T014 记忆露</x:v>
      </x:c>
      <x:c r="C6" s="13" t="str">
        <x:v>验证成熟药水模板在现有卡池中是否过强或产生无限。</x:v>
      </x:c>
      <x:c r="D6" s="13" t="str">
        <x:v>额外牌面价值、复制目标、0费回收目标、单回合总出牌数</x:v>
      </x:c>
    </x:row>
    <x:row r="7" ht="70" customHeight="1">
      <x:c r="A7" s="36" t="str">
        <x:v>C｜体系强化包</x:v>
      </x:c>
      <x:c r="B7" s="36" t="str">
        <x:v>T011 断契钳、T012 催燃剂、T015 冻存胶、T018 状态磁瓶</x:v>
      </x:c>
      <x:c r="C7" s="36" t="str">
        <x:v>验证道具能明显放大已有构筑，但无构筑时价值下降。</x:v>
      </x:c>
      <x:c r="D7" s="36" t="str">
        <x:v>消耗张数、持续伤害结算量、留存盾吸收量、状态转移总层数</x:v>
      </x:c>
    </x:row>
    <x:row r="8" ht="70" customHeight="1">
      <x:c r="A8" s="13" t="str">
        <x:v>D｜双属性与契灵包</x:v>
      </x:c>
      <x:c r="B8" s="13" t="str">
        <x:v>T009 棱镜瓶、T016 双相安瓿、T022 契灵激素</x:v>
      </x:c>
      <x:c r="C8" s="13" t="str">
        <x:v>验证本项目专属药水能否与尖塔通用药水处在同一强度档。</x:v>
      </x:c>
      <x:c r="D8" s="13" t="str">
        <x:v>三选一采用率、节省能量、主动技能复用收益、单属性对照</x:v>
      </x:c>
    </x:row>
    <x:row r="9" ht="70" customHeight="1">
      <x:c r="A9" s="36" t="str">
        <x:v>E｜稀有保命包</x:v>
      </x:c>
      <x:c r="B9" s="36" t="str">
        <x:v>T019 静止钟、T020 逆命露、T021 万象酿、T024 逆流封条</x:v>
      </x:c>
      <x:c r="C9" s="36" t="str">
        <x:v>验证稀有道具是否真的足以留到Boss，同时不会自动赢下战斗。</x:v>
      </x:c>
      <x:c r="D9" s="36" t="str">
        <x:v>避免伤害、复活后胜率、新生成道具数量、回滚后操作变化</x:v>
      </x:c>
    </x:row>
  </x:sheetData>
  <x:mergeCells>
    <x:mergeCell ref="A1:D2"/>
  </x:mergeCells>
  <x:pageMargins left="0.7" right="0.7" top="0.75" bottom="0.75" header="0.3" footer="0.3"/>
</x:worksheet>
</file>